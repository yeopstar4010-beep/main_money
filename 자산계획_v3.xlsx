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내 드라이브\claude\자산관리\"/>
    </mc:Choice>
  </mc:AlternateContent>
  <xr:revisionPtr revIDLastSave="0" documentId="13_ncr:1_{B9D3176B-C882-40E4-B3B1-D7991E602347}" xr6:coauthVersionLast="47" xr6:coauthVersionMax="47" xr10:uidLastSave="{00000000-0000-0000-0000-000000000000}"/>
  <bookViews>
    <workbookView xWindow="735" yWindow="735" windowWidth="22020" windowHeight="18165" xr2:uid="{00000000-000D-0000-FFFF-FFFF00000000}"/>
  </bookViews>
  <sheets>
    <sheet name="대시보드" sheetId="1" r:id="rId1"/>
    <sheet name="자산현황" sheetId="2" r:id="rId2"/>
    <sheet name="자산_이력" sheetId="3" r:id="rId3"/>
    <sheet name="민엽_가계부" sheetId="4" r:id="rId4"/>
    <sheet name="현지_가계부" sheetId="5" r:id="rId5"/>
    <sheet name="월별저축" sheetId="6" r:id="rId6"/>
    <sheet name="부동산계획" sheetId="7" r:id="rId7"/>
    <sheet name="결혼계획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7" l="1"/>
  <c r="G50" i="8"/>
  <c r="D8" i="8" s="1"/>
  <c r="F26" i="1" s="1"/>
  <c r="G49" i="8"/>
  <c r="G48" i="8"/>
  <c r="G47" i="8"/>
  <c r="G46" i="8"/>
  <c r="E42" i="8"/>
  <c r="F42" i="8" s="1"/>
  <c r="D42" i="8"/>
  <c r="D6" i="8" s="1"/>
  <c r="F41" i="8"/>
  <c r="F40" i="8"/>
  <c r="F39" i="8"/>
  <c r="F38" i="8"/>
  <c r="F37" i="8"/>
  <c r="E33" i="8"/>
  <c r="D33" i="8"/>
  <c r="D7" i="8" s="1"/>
  <c r="F31" i="8"/>
  <c r="E31" i="8"/>
  <c r="D31" i="8"/>
  <c r="F30" i="8"/>
  <c r="F29" i="8"/>
  <c r="E28" i="8"/>
  <c r="F28" i="8" s="1"/>
  <c r="D28" i="8"/>
  <c r="F27" i="8"/>
  <c r="F26" i="8"/>
  <c r="E25" i="8"/>
  <c r="D25" i="8"/>
  <c r="F25" i="8" s="1"/>
  <c r="F24" i="8"/>
  <c r="F23" i="8"/>
  <c r="F22" i="8"/>
  <c r="F21" i="8"/>
  <c r="F20" i="8"/>
  <c r="F19" i="8"/>
  <c r="E18" i="8"/>
  <c r="F18" i="8" s="1"/>
  <c r="D18" i="8"/>
  <c r="F17" i="8"/>
  <c r="F16" i="8"/>
  <c r="F15" i="8"/>
  <c r="F14" i="8"/>
  <c r="F13" i="8"/>
  <c r="D72" i="7"/>
  <c r="D11" i="7" s="1"/>
  <c r="F19" i="1" s="1"/>
  <c r="D52" i="7"/>
  <c r="D9" i="7"/>
  <c r="F17" i="1" s="1"/>
  <c r="H35" i="6"/>
  <c r="E35" i="6"/>
  <c r="I35" i="6" s="1"/>
  <c r="J35" i="6" s="1"/>
  <c r="I34" i="6"/>
  <c r="H34" i="6"/>
  <c r="E34" i="6"/>
  <c r="J34" i="6" s="1"/>
  <c r="H33" i="6"/>
  <c r="E33" i="6"/>
  <c r="H32" i="6"/>
  <c r="E32" i="6"/>
  <c r="I32" i="6" s="1"/>
  <c r="J32" i="6" s="1"/>
  <c r="I31" i="6"/>
  <c r="H31" i="6"/>
  <c r="E31" i="6"/>
  <c r="J31" i="6" s="1"/>
  <c r="H30" i="6"/>
  <c r="E30" i="6"/>
  <c r="H29" i="6"/>
  <c r="E29" i="6"/>
  <c r="I29" i="6" s="1"/>
  <c r="J29" i="6" s="1"/>
  <c r="I28" i="6"/>
  <c r="H28" i="6"/>
  <c r="E28" i="6"/>
  <c r="J28" i="6" s="1"/>
  <c r="H27" i="6"/>
  <c r="E27" i="6"/>
  <c r="H26" i="6"/>
  <c r="E26" i="6"/>
  <c r="I26" i="6" s="1"/>
  <c r="J26" i="6" s="1"/>
  <c r="I25" i="6"/>
  <c r="H25" i="6"/>
  <c r="E25" i="6"/>
  <c r="J25" i="6" s="1"/>
  <c r="H24" i="6"/>
  <c r="E24" i="6"/>
  <c r="H23" i="6"/>
  <c r="E23" i="6"/>
  <c r="I23" i="6" s="1"/>
  <c r="J23" i="6" s="1"/>
  <c r="I22" i="6"/>
  <c r="H22" i="6"/>
  <c r="E22" i="6"/>
  <c r="J22" i="6" s="1"/>
  <c r="H21" i="6"/>
  <c r="E21" i="6"/>
  <c r="L39" i="5"/>
  <c r="K39" i="5"/>
  <c r="J39" i="5"/>
  <c r="I39" i="5"/>
  <c r="H39" i="5"/>
  <c r="G39" i="5"/>
  <c r="F39" i="5"/>
  <c r="E39" i="5"/>
  <c r="D39" i="5"/>
  <c r="C39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39" i="5" s="1"/>
  <c r="M10" i="5"/>
  <c r="M9" i="5"/>
  <c r="M8" i="5"/>
  <c r="M7" i="5"/>
  <c r="M6" i="5"/>
  <c r="M5" i="5"/>
  <c r="L39" i="4"/>
  <c r="K39" i="4"/>
  <c r="J39" i="4"/>
  <c r="I39" i="4"/>
  <c r="H39" i="4"/>
  <c r="G39" i="4"/>
  <c r="F39" i="4"/>
  <c r="E39" i="4"/>
  <c r="D39" i="4"/>
  <c r="C39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39" i="4" s="1"/>
  <c r="M5" i="4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K7" i="3"/>
  <c r="G7" i="3"/>
  <c r="L7" i="3" s="1"/>
  <c r="J6" i="3"/>
  <c r="I6" i="3"/>
  <c r="H6" i="3"/>
  <c r="K6" i="3" s="1"/>
  <c r="D6" i="3"/>
  <c r="D41" i="2"/>
  <c r="C41" i="2"/>
  <c r="F41" i="2" s="1"/>
  <c r="F23" i="1" s="1"/>
  <c r="D40" i="2"/>
  <c r="F36" i="2"/>
  <c r="E10" i="1" s="1"/>
  <c r="E36" i="2"/>
  <c r="C36" i="2"/>
  <c r="C10" i="1" s="1"/>
  <c r="F35" i="2"/>
  <c r="F34" i="2"/>
  <c r="F33" i="2"/>
  <c r="F32" i="2"/>
  <c r="F29" i="2"/>
  <c r="E9" i="1" s="1"/>
  <c r="E29" i="2"/>
  <c r="C29" i="2"/>
  <c r="C9" i="1" s="1"/>
  <c r="F28" i="2"/>
  <c r="E25" i="2"/>
  <c r="F25" i="2" s="1"/>
  <c r="E8" i="1" s="1"/>
  <c r="C25" i="2"/>
  <c r="F24" i="2"/>
  <c r="F23" i="2"/>
  <c r="F22" i="2"/>
  <c r="F21" i="2"/>
  <c r="F20" i="2"/>
  <c r="F19" i="2"/>
  <c r="E16" i="2"/>
  <c r="E41" i="2" s="1"/>
  <c r="C16" i="2"/>
  <c r="C6" i="3" s="1"/>
  <c r="G6" i="3" s="1"/>
  <c r="L6" i="3" s="1"/>
  <c r="N7" i="3" s="1"/>
  <c r="F15" i="2"/>
  <c r="F14" i="2"/>
  <c r="F13" i="2"/>
  <c r="F12" i="2"/>
  <c r="F11" i="2"/>
  <c r="F10" i="2"/>
  <c r="F9" i="2"/>
  <c r="F8" i="2"/>
  <c r="F7" i="2"/>
  <c r="F6" i="2"/>
  <c r="F25" i="1"/>
  <c r="F21" i="1"/>
  <c r="F18" i="1"/>
  <c r="F16" i="1"/>
  <c r="I11" i="1"/>
  <c r="I10" i="1"/>
  <c r="D10" i="1"/>
  <c r="D9" i="1"/>
  <c r="D8" i="1"/>
  <c r="C8" i="1"/>
  <c r="D7" i="1"/>
  <c r="C7" i="1"/>
  <c r="F33" i="8" l="1"/>
  <c r="D9" i="8"/>
  <c r="F20" i="1"/>
  <c r="F22" i="1" s="1"/>
  <c r="M7" i="3"/>
  <c r="N8" i="3"/>
  <c r="J33" i="6"/>
  <c r="C40" i="2"/>
  <c r="C11" i="1" s="1"/>
  <c r="D5" i="8"/>
  <c r="E40" i="2"/>
  <c r="D11" i="1" s="1"/>
  <c r="F16" i="2"/>
  <c r="I21" i="6"/>
  <c r="I24" i="6"/>
  <c r="J24" i="6" s="1"/>
  <c r="I27" i="6"/>
  <c r="J27" i="6" s="1"/>
  <c r="I30" i="6"/>
  <c r="J30" i="6" s="1"/>
  <c r="I33" i="6"/>
  <c r="F40" i="2" l="1"/>
  <c r="E11" i="1" s="1"/>
  <c r="E7" i="1"/>
  <c r="I56" i="6"/>
  <c r="I55" i="6"/>
  <c r="F24" i="1" s="1"/>
  <c r="F27" i="1" s="1"/>
  <c r="F28" i="1" s="1"/>
  <c r="J21" i="6"/>
  <c r="M29" i="3"/>
  <c r="K29" i="3"/>
  <c r="L29" i="3"/>
  <c r="N30" i="3"/>
  <c r="N14" i="3"/>
  <c r="K13" i="3"/>
  <c r="L13" i="3"/>
  <c r="M13" i="3"/>
  <c r="N36" i="3"/>
  <c r="K35" i="3"/>
  <c r="L35" i="3"/>
  <c r="M35" i="3"/>
  <c r="N35" i="3"/>
  <c r="K34" i="3"/>
  <c r="L34" i="3"/>
  <c r="M34" i="3"/>
  <c r="K37" i="3"/>
  <c r="L37" i="3"/>
  <c r="M37" i="3"/>
  <c r="N21" i="3"/>
  <c r="K20" i="3"/>
  <c r="L20" i="3"/>
  <c r="M20" i="3"/>
  <c r="M10" i="3"/>
  <c r="K10" i="3"/>
  <c r="L10" i="3"/>
  <c r="N11" i="3"/>
  <c r="N13" i="3"/>
  <c r="K12" i="3"/>
  <c r="L12" i="3"/>
  <c r="M12" i="3"/>
  <c r="M33" i="3"/>
  <c r="K33" i="3"/>
  <c r="L33" i="3"/>
  <c r="N34" i="3"/>
  <c r="N9" i="3"/>
  <c r="K8" i="3"/>
  <c r="L8" i="3"/>
  <c r="M8" i="3"/>
  <c r="M22" i="3"/>
  <c r="K22" i="3"/>
  <c r="L22" i="3"/>
  <c r="N23" i="3"/>
  <c r="N12" i="3"/>
  <c r="K11" i="3"/>
  <c r="L11" i="3"/>
  <c r="M11" i="3"/>
  <c r="N18" i="3"/>
  <c r="K17" i="3"/>
  <c r="L17" i="3"/>
  <c r="M17" i="3"/>
  <c r="N32" i="3"/>
  <c r="K31" i="3"/>
  <c r="L31" i="3"/>
  <c r="M31" i="3"/>
  <c r="N17" i="3"/>
  <c r="K16" i="3"/>
  <c r="L16" i="3"/>
  <c r="M16" i="3"/>
  <c r="N26" i="3"/>
  <c r="K25" i="3"/>
  <c r="L25" i="3"/>
  <c r="M25" i="3"/>
  <c r="N25" i="3"/>
  <c r="K24" i="3"/>
  <c r="L24" i="3"/>
  <c r="M24" i="3"/>
  <c r="M27" i="3"/>
  <c r="K27" i="3"/>
  <c r="L27" i="3"/>
  <c r="N28" i="3"/>
  <c r="N37" i="3"/>
  <c r="K36" i="3"/>
  <c r="L36" i="3"/>
  <c r="M36" i="3"/>
  <c r="N33" i="3"/>
  <c r="K32" i="3"/>
  <c r="L32" i="3"/>
  <c r="M32" i="3"/>
  <c r="N27" i="3"/>
  <c r="K26" i="3"/>
  <c r="L26" i="3"/>
  <c r="M26" i="3"/>
  <c r="N24" i="3"/>
  <c r="K23" i="3"/>
  <c r="L23" i="3"/>
  <c r="M23" i="3"/>
  <c r="M21" i="3"/>
  <c r="K21" i="3"/>
  <c r="L21" i="3"/>
  <c r="N22" i="3"/>
  <c r="M30" i="3"/>
  <c r="K30" i="3"/>
  <c r="L30" i="3"/>
  <c r="N31" i="3"/>
  <c r="M9" i="3"/>
  <c r="K9" i="3"/>
  <c r="L9" i="3"/>
  <c r="N10" i="3"/>
  <c r="M14" i="3"/>
  <c r="K14" i="3"/>
  <c r="L14" i="3"/>
  <c r="N15" i="3"/>
  <c r="N29" i="3"/>
  <c r="K28" i="3"/>
  <c r="L28" i="3"/>
  <c r="M28" i="3"/>
  <c r="N20" i="3"/>
  <c r="K19" i="3"/>
  <c r="L19" i="3"/>
  <c r="M19" i="3"/>
  <c r="N19" i="3"/>
  <c r="K18" i="3"/>
  <c r="L18" i="3"/>
  <c r="M18" i="3"/>
  <c r="M15" i="3"/>
  <c r="K15" i="3"/>
  <c r="L15" i="3"/>
  <c r="N16" i="3"/>
</calcChain>
</file>

<file path=xl/sharedStrings.xml><?xml version="1.0" encoding="utf-8"?>
<sst xmlns="http://schemas.openxmlformats.org/spreadsheetml/2006/main" count="363" uniqueCount="240">
  <si>
    <t xml:space="preserve">  민엽 &amp; 현지  자산관리 대시보드</t>
  </si>
  <si>
    <t xml:space="preserve">  기준일: 2026년 05월 17일  |  각 시트에 입력하면 자동 업데이트</t>
  </si>
  <si>
    <t>현재 순자산</t>
  </si>
  <si>
    <t>항목</t>
  </si>
  <si>
    <t>민엽</t>
  </si>
  <si>
    <t>현지</t>
  </si>
  <si>
    <t>합계</t>
  </si>
  <si>
    <t>현금·예금</t>
  </si>
  <si>
    <t>투자자산</t>
  </si>
  <si>
    <t>계약금</t>
  </si>
  <si>
    <t>D-Day</t>
  </si>
  <si>
    <t>부채</t>
  </si>
  <si>
    <t>결혼식 (2027.07)</t>
  </si>
  <si>
    <t>순  자  산</t>
  </si>
  <si>
    <t>잔금일 (2027.09)</t>
  </si>
  <si>
    <t>2027년 자금 계획 요약</t>
  </si>
  <si>
    <t>구분</t>
  </si>
  <si>
    <t>금액 (원)</t>
  </si>
  <si>
    <t>비고</t>
  </si>
  <si>
    <t>지출</t>
  </si>
  <si>
    <t>잔금 자기자금</t>
  </si>
  <si>
    <t>취득세·부대비용</t>
  </si>
  <si>
    <t>세입자 보증금 반환</t>
  </si>
  <si>
    <t>인테리어·가전</t>
  </si>
  <si>
    <t>결혼식·신혼여행</t>
  </si>
  <si>
    <t>어머니 차용금 상환</t>
  </si>
  <si>
    <t>지출 합계</t>
  </si>
  <si>
    <t>가용</t>
  </si>
  <si>
    <t>현재 가용 자산 (현금+투자-부채)</t>
  </si>
  <si>
    <t>2027.9까지 저축 예상</t>
  </si>
  <si>
    <t>대출 예정</t>
  </si>
  <si>
    <t>예상 축의금</t>
  </si>
  <si>
    <t>가용 합계</t>
  </si>
  <si>
    <t>여유 / 부족</t>
  </si>
  <si>
    <t xml:space="preserve">  ※ 각 시트(부동산계획·결혼계획·자산현황·월별저축)에 값을 입력하면 자동 반영됩니다.</t>
  </si>
  <si>
    <t xml:space="preserve">  자산 현황</t>
  </si>
  <si>
    <t xml:space="preserve">  기준: 매월 말일 업데이트 | D=민엽, E=현지, F=합계</t>
  </si>
  <si>
    <t>현금 · 예금</t>
  </si>
  <si>
    <t>항  목</t>
  </si>
  <si>
    <t>민  엽</t>
  </si>
  <si>
    <t>현  지</t>
  </si>
  <si>
    <t>합  계</t>
  </si>
  <si>
    <t>토스뱅크</t>
  </si>
  <si>
    <t>OK 저축은행</t>
  </si>
  <si>
    <t>주택청약(→연금)</t>
  </si>
  <si>
    <t>하나은행</t>
  </si>
  <si>
    <t>농협</t>
  </si>
  <si>
    <t>기업은행</t>
  </si>
  <si>
    <t>카카오뱅크</t>
  </si>
  <si>
    <t>우리은행</t>
  </si>
  <si>
    <t>OK토스플러스</t>
  </si>
  <si>
    <t>지역화폐</t>
  </si>
  <si>
    <t>배터리카드</t>
  </si>
  <si>
    <t>기타</t>
  </si>
  <si>
    <t xml:space="preserve">  소  계</t>
  </si>
  <si>
    <t>투자 자산 (주식 · 코인 · 연금)</t>
  </si>
  <si>
    <t>키움증권</t>
  </si>
  <si>
    <t>한국투자증권</t>
  </si>
  <si>
    <t>토스주식</t>
  </si>
  <si>
    <t>토스증권</t>
  </si>
  <si>
    <t>자사주</t>
  </si>
  <si>
    <t>대신증권</t>
  </si>
  <si>
    <t>ISA</t>
  </si>
  <si>
    <t>ISA (현지)</t>
  </si>
  <si>
    <t>IRP·연금·청약</t>
  </si>
  <si>
    <t>연금·청약(현지)</t>
  </si>
  <si>
    <t>비트코인</t>
  </si>
  <si>
    <t>업비트</t>
  </si>
  <si>
    <t>계약금 납부 (유동성 없음)</t>
  </si>
  <si>
    <t>계약금 납부 (아파트)</t>
  </si>
  <si>
    <t>2025.04 납부 / 잔금 전 고정</t>
  </si>
  <si>
    <t>부  채 (마이너스 입력)</t>
  </si>
  <si>
    <t>대출(어머니)</t>
  </si>
  <si>
    <t>대출(주담대)</t>
  </si>
  <si>
    <t>대출(보증금 반환)</t>
  </si>
  <si>
    <t>대출(신용)</t>
  </si>
  <si>
    <t>순자산 합계</t>
  </si>
  <si>
    <t>순자산 = 현금+투자+계약금 - 부채</t>
  </si>
  <si>
    <t xml:space="preserve">  ※ D·E열(금액)만 수정. F열과 소계·순자산은 자동 계산.</t>
  </si>
  <si>
    <t xml:space="preserve">  자산 월별 이력</t>
  </si>
  <si>
    <t xml:space="preserve">  매월 말일 잔액을 직접 입력하세요. 순자산·전월비·변동률은 자동 계산됩니다.</t>
  </si>
  <si>
    <t>월</t>
  </si>
  <si>
    <t>주식·코인</t>
  </si>
  <si>
    <t>IRP·연금</t>
  </si>
  <si>
    <t>순자산</t>
  </si>
  <si>
    <t>주식</t>
  </si>
  <si>
    <t>전월비</t>
  </si>
  <si>
    <t>변동률</t>
  </si>
  <si>
    <t xml:space="preserve">  ※ C~F(민엽), H~K(현지)열에 매월 말 잔액 입력. 순자산·전월비·변동률은 자동 계산.</t>
  </si>
  <si>
    <t xml:space="preserve">  ※ 민엽 부채(어머니 차용금 1억600만)는 순자산에서 별도 차감하세요.</t>
  </si>
  <si>
    <t xml:space="preserve">  민엽 월별 지출 가계부</t>
  </si>
  <si>
    <t xml:space="preserve">  각 카테고리별 지출을 입력하세요. 합계는 자동 계산 → 월별저축 시트에 자동 반영됩니다.</t>
  </si>
  <si>
    <t>식비/외식</t>
  </si>
  <si>
    <t>교통/주유</t>
  </si>
  <si>
    <t>통신/구독</t>
  </si>
  <si>
    <t>쇼핑/의류</t>
  </si>
  <si>
    <t>여가/취미</t>
  </si>
  <si>
    <t>의료/건강</t>
  </si>
  <si>
    <t>경조사</t>
  </si>
  <si>
    <t>고정지출</t>
  </si>
  <si>
    <t>부모님/용돈</t>
  </si>
  <si>
    <t>월 합계</t>
  </si>
  <si>
    <t>메모</t>
  </si>
  <si>
    <t>카테고리별 합계</t>
  </si>
  <si>
    <t>전체 합계</t>
  </si>
  <si>
    <t xml:space="preserve">  ※ 각 셀에 숫자만 입력. 월 합계는 자동 계산.</t>
  </si>
  <si>
    <t xml:space="preserve">  현지 월별 지출 가계부</t>
  </si>
  <si>
    <t xml:space="preserve">  월별 저축 추이</t>
  </si>
  <si>
    <t xml:space="preserve">  수입만 입력하세요. 지출은 가계부 시트에서 자동 반영됩니다.</t>
  </si>
  <si>
    <t>시작 순자산 (2026년 5월)</t>
  </si>
  <si>
    <t>시작 순자산</t>
  </si>
  <si>
    <t xml:space="preserve">  자산현황 시트 순자산 값 입력</t>
  </si>
  <si>
    <t>주요 이벤트 (해당 월 자동 차감)</t>
  </si>
  <si>
    <t>연-월</t>
  </si>
  <si>
    <t>이벤트명</t>
  </si>
  <si>
    <t>부동산 잔금 (자기자금)</t>
  </si>
  <si>
    <t>결혼식 비용</t>
  </si>
  <si>
    <t>신혼여행</t>
  </si>
  <si>
    <t>인테리어·가전가구</t>
  </si>
  <si>
    <t>보증금 반환 대출 1억 추가</t>
  </si>
  <si>
    <t>월별 기록</t>
  </si>
  <si>
    <t>민엽 수입</t>
  </si>
  <si>
    <t>현지 수입</t>
  </si>
  <si>
    <t>합계 수입</t>
  </si>
  <si>
    <t>민엽 지출</t>
  </si>
  <si>
    <t>현지 지출</t>
  </si>
  <si>
    <t>합계 지출</t>
  </si>
  <si>
    <t>저축액</t>
  </si>
  <si>
    <t>저축률</t>
  </si>
  <si>
    <t>어머니 50</t>
  </si>
  <si>
    <t>어머니 50 + 대출이자 150</t>
  </si>
  <si>
    <t>누계</t>
  </si>
  <si>
    <t>2026.05 ~ 2027.09 저축 합계</t>
  </si>
  <si>
    <t>월 평균 저축</t>
  </si>
  <si>
    <t xml:space="preserve">  ※ 수입(C·D열)만 입력하세요. 지출은 가계부 시트 자동 합산, 저축·저축률 자동 계산.</t>
  </si>
  <si>
    <t xml:space="preserve">  ※ 이벤트는 위 표에서 수정하세요.</t>
  </si>
  <si>
    <t xml:space="preserve">  부동산 계획</t>
  </si>
  <si>
    <t xml:space="preserve">  노란색 셀에 값을 입력하세요.</t>
  </si>
  <si>
    <t>핵심 요약 (자동 계산)</t>
  </si>
  <si>
    <t>매매가</t>
  </si>
  <si>
    <t>계약금 납부</t>
  </si>
  <si>
    <t>취득세 합계</t>
  </si>
  <si>
    <t>세입자 보증금</t>
  </si>
  <si>
    <t>인테리어 합계</t>
  </si>
  <si>
    <t>① 자금 조달 계획</t>
  </si>
  <si>
    <t>금  액</t>
  </si>
  <si>
    <t>비  고</t>
  </si>
  <si>
    <t>계약금 납부 (완료)</t>
  </si>
  <si>
    <t>2025.04 납부</t>
  </si>
  <si>
    <t>대출 예정금액(주택담보)</t>
  </si>
  <si>
    <t>LTV 확정 후 수정</t>
  </si>
  <si>
    <t>기타 (부모님 지원 등)</t>
  </si>
  <si>
    <t>대출 예정금액(보증금반환)</t>
  </si>
  <si>
    <t>합 계</t>
  </si>
  <si>
    <t>② 대출 상세</t>
  </si>
  <si>
    <t>대출 종류</t>
  </si>
  <si>
    <t>주택담보대출</t>
  </si>
  <si>
    <t>대출 금액 (원)</t>
  </si>
  <si>
    <t>연 금리 (%)</t>
  </si>
  <si>
    <t>대출 기간 (년)</t>
  </si>
  <si>
    <t>거치 기간 (년)</t>
  </si>
  <si>
    <t>월 상환액 (원)</t>
  </si>
  <si>
    <t>은행 계산기 확인</t>
  </si>
  <si>
    <t>실행 예정일</t>
  </si>
  <si>
    <t>만기일</t>
  </si>
  <si>
    <t>세입자 반환금 대출</t>
  </si>
  <si>
    <t>③ 취득세 · 부대비용 (임시)</t>
  </si>
  <si>
    <t>예산</t>
  </si>
  <si>
    <t>실제</t>
  </si>
  <si>
    <t>취득세</t>
  </si>
  <si>
    <t>농어촌특별세</t>
  </si>
  <si>
    <t>지방교육세</t>
  </si>
  <si>
    <t>법무사 수수료</t>
  </si>
  <si>
    <t>부동산 중개수수료</t>
  </si>
  <si>
    <t>이사 비용</t>
  </si>
  <si>
    <t>④ 세입자 보증금 반환</t>
  </si>
  <si>
    <t xml:space="preserve">  ※ 잔금과 별도 — 입주 시 세입자에게 반환해야 하는 금액입니다.</t>
  </si>
  <si>
    <t>현 세입자 보증금</t>
  </si>
  <si>
    <t>입주 시 반환</t>
  </si>
  <si>
    <t>반환 예정일</t>
  </si>
  <si>
    <t>2027-09 또는 입주 시기</t>
  </si>
  <si>
    <t>⑤ 인테리어 · 가전가구 (임시)</t>
  </si>
  <si>
    <t>철거·기본공사</t>
  </si>
  <si>
    <t>도배·장판</t>
  </si>
  <si>
    <t>주방공사</t>
  </si>
  <si>
    <t>욕실공사</t>
  </si>
  <si>
    <t>전기·조명</t>
  </si>
  <si>
    <t>에어컨</t>
  </si>
  <si>
    <t>냉장고</t>
  </si>
  <si>
    <t>세탁기·건조기</t>
  </si>
  <si>
    <t>소파·침대·가구</t>
  </si>
  <si>
    <t>TV·가전</t>
  </si>
  <si>
    <t xml:space="preserve">  ※ D열(예산) 입력 → 취득세·인테리어 합계가 요약 블록에 자동 반영됩니다.</t>
  </si>
  <si>
    <t xml:space="preserve">  결혼 계획</t>
  </si>
  <si>
    <t xml:space="preserve">  결혼식: 2027년 7월 | 신혼여행: 2027년 9월</t>
  </si>
  <si>
    <t>결혼식 합계</t>
  </si>
  <si>
    <t>신혼여행 합계</t>
  </si>
  <si>
    <t>결혼 총비용</t>
  </si>
  <si>
    <t>결혼 순비용</t>
  </si>
  <si>
    <t>① 결혼식 세부 예산</t>
  </si>
  <si>
    <t>예산 (원)</t>
  </si>
  <si>
    <t>실제 (원)</t>
  </si>
  <si>
    <t>차  액</t>
  </si>
  <si>
    <t xml:space="preserve">  스튜디오 (사진촬영)</t>
  </si>
  <si>
    <t xml:space="preserve">  드레스</t>
  </si>
  <si>
    <t xml:space="preserve">  메이크업 (헤어포함)</t>
  </si>
  <si>
    <t xml:space="preserve">  신랑 예복</t>
  </si>
  <si>
    <t xml:space="preserve">  부케·부토니에</t>
  </si>
  <si>
    <t xml:space="preserve">  [스드메] 소계</t>
  </si>
  <si>
    <t xml:space="preserve">  예식장 대관료</t>
  </si>
  <si>
    <t xml:space="preserve">  뷔페·식사</t>
  </si>
  <si>
    <t xml:space="preserve">  웨딩케이크</t>
  </si>
  <si>
    <t xml:space="preserve">  사회자</t>
  </si>
  <si>
    <t xml:space="preserve">  영상촬영</t>
  </si>
  <si>
    <t xml:space="preserve">  청첩장·답례품</t>
  </si>
  <si>
    <t xml:space="preserve">  [예식장] 소계</t>
  </si>
  <si>
    <t xml:space="preserve">  예물 (반지 등)</t>
  </si>
  <si>
    <t xml:space="preserve">  예단 비용</t>
  </si>
  <si>
    <t xml:space="preserve">  [예물·예단] 소계</t>
  </si>
  <si>
    <t xml:space="preserve">  기타 ①</t>
  </si>
  <si>
    <t xml:space="preserve">  기타 ②</t>
  </si>
  <si>
    <t xml:space="preserve">  [기타] 소계</t>
  </si>
  <si>
    <t>② 신혼여행</t>
  </si>
  <si>
    <t xml:space="preserve">  항공권 (2인)</t>
  </si>
  <si>
    <t xml:space="preserve">  숙박</t>
  </si>
  <si>
    <t xml:space="preserve">  투어·액티비티</t>
  </si>
  <si>
    <t xml:space="preserve">  식비·쇼핑</t>
  </si>
  <si>
    <t xml:space="preserve">  기타</t>
  </si>
  <si>
    <t>③ 축의금 시뮬레이터</t>
  </si>
  <si>
    <t>하객 구분</t>
  </si>
  <si>
    <t>민엽 인원</t>
  </si>
  <si>
    <t>현지 인원</t>
  </si>
  <si>
    <t>평균 축의금</t>
  </si>
  <si>
    <t>예상 수입</t>
  </si>
  <si>
    <t>직장 동료</t>
  </si>
  <si>
    <t>친구·지인</t>
  </si>
  <si>
    <t>친척·가족</t>
  </si>
  <si>
    <t>축의금 합계</t>
  </si>
  <si>
    <t xml:space="preserve">  ※ D열(예산), 하객 인원을 입력하세요. 합계·순비용은 자동 계산.</t>
  </si>
  <si>
    <t>가용 자산 = 현금+투자-부채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</si>
</sst>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-mm"/>
    <numFmt numFmtId="178" formatCode="0.0%"/>
  </numFmts>
  <fonts count="19" x14ac:knownFonts="1">
    <font>
      <sz val="11"/>
      <color theme="1"/>
      <name val="맑은 고딕"/>
      <family val="2"/>
      <scheme val="minor"/>
    </font>
    <font>
      <b/>
      <sz val="10"/>
      <color rgb="FF1F3864"/>
      <name val="맑은 고딕"/>
      <family val="3"/>
      <charset val="129"/>
    </font>
    <font>
      <sz val="10"/>
      <color rgb="FF1F386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  <font>
      <sz val="10"/>
      <color rgb="FF1F3864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b/>
      <sz val="10"/>
      <color rgb="FF1F3864"/>
      <name val="Noto Sans KR"/>
      <family val="3"/>
      <charset val="129"/>
    </font>
    <font>
      <sz val="10"/>
      <color rgb="FF595959"/>
      <name val="Noto Sans KR"/>
      <family val="3"/>
      <charset val="129"/>
    </font>
    <font>
      <i/>
      <sz val="9"/>
      <color rgb="FF808080"/>
      <name val="Noto Sans KR"/>
      <family val="3"/>
      <charset val="129"/>
    </font>
    <font>
      <sz val="10"/>
      <color theme="1"/>
      <name val="Noto Sans KR"/>
      <family val="3"/>
      <charset val="129"/>
    </font>
    <font>
      <i/>
      <sz val="10"/>
      <color rgb="FF808080"/>
      <name val="Noto Sans KR"/>
      <family val="3"/>
      <charset val="129"/>
    </font>
    <font>
      <sz val="10"/>
      <color theme="1"/>
      <name val="맑은 고딕"/>
      <family val="3"/>
      <charset val="129"/>
      <scheme val="minor"/>
    </font>
    <font>
      <i/>
      <sz val="10"/>
      <color rgb="FF808080"/>
      <name val="맑은 고딕"/>
      <family val="3"/>
      <charset val="129"/>
    </font>
    <font>
      <b/>
      <sz val="12"/>
      <color rgb="FFFFFFFF"/>
      <name val="Noto Sans KR"/>
      <family val="3"/>
      <charset val="129"/>
    </font>
    <font>
      <sz val="10"/>
      <color rgb="FF595959"/>
      <name val="맑은 고딕"/>
      <family val="3"/>
      <charset val="129"/>
    </font>
    <font>
      <sz val="10"/>
      <color rgb="FF1F3864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E7E7"/>
      </patternFill>
    </fill>
    <fill>
      <patternFill patternType="solid">
        <f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/>
  </cellStyleXfs>
  <cellXfs count="60">
    <xf numFmtId="0" fontId="0" fillId="0" borderId="0" xfId="0" applyBorder="1"/>
    <xf numFmtId="0" fontId="1" fillId="3" borderId="2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2" fillId="0" borderId="2" xfId="0" applyFont="1" applyBorder="1"/>
    <xf numFmtId="0" fontId="2" fillId="5" borderId="2" xfId="0" applyFont="1" applyFill="1" applyBorder="1" applyAlignment="1">
      <alignment horizontal="left" vertical="center"/>
    </xf>
    <xf numFmtId="3" fontId="1" fillId="7" borderId="2" xfId="0" applyNumberFormat="1" applyFont="1" applyFill="1" applyBorder="1" applyAlignment="1">
      <alignment horizontal="right" vertical="center"/>
    </xf>
    <xf numFmtId="0" fontId="6" fillId="0" borderId="0" xfId="0" applyFont="1" applyBorder="1"/>
    <xf numFmtId="0" fontId="9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/>
    </xf>
    <xf numFmtId="3" fontId="7" fillId="5" borderId="2" xfId="0" applyNumberFormat="1" applyFont="1" applyFill="1" applyBorder="1" applyAlignment="1">
      <alignment horizontal="right" vertical="center"/>
    </xf>
    <xf numFmtId="176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3" fontId="9" fillId="7" borderId="2" xfId="0" applyNumberFormat="1" applyFont="1" applyFill="1" applyBorder="1" applyAlignment="1">
      <alignment horizontal="right" vertical="center"/>
    </xf>
    <xf numFmtId="3" fontId="9" fillId="9" borderId="2" xfId="0" applyNumberFormat="1" applyFont="1" applyFill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0" fontId="7" fillId="0" borderId="2" xfId="0" applyFont="1" applyBorder="1"/>
    <xf numFmtId="0" fontId="12" fillId="0" borderId="0" xfId="0" applyFont="1" applyBorder="1"/>
    <xf numFmtId="0" fontId="13" fillId="0" borderId="0" xfId="0" applyFont="1" applyBorder="1" applyAlignment="1">
      <alignment horizontal="left"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177" fontId="9" fillId="4" borderId="2" xfId="0" applyNumberFormat="1" applyFont="1" applyFill="1" applyBorder="1" applyAlignment="1">
      <alignment horizontal="center" vertical="center" wrapText="1"/>
    </xf>
    <xf numFmtId="178" fontId="7" fillId="5" borderId="2" xfId="0" applyNumberFormat="1" applyFont="1" applyFill="1" applyBorder="1" applyAlignment="1">
      <alignment horizontal="right" vertical="center"/>
    </xf>
    <xf numFmtId="0" fontId="12" fillId="0" borderId="2" xfId="0" applyFont="1" applyBorder="1"/>
    <xf numFmtId="0" fontId="14" fillId="0" borderId="0" xfId="0" applyFont="1" applyBorder="1"/>
    <xf numFmtId="0" fontId="15" fillId="0" borderId="0" xfId="0" applyFont="1" applyBorder="1" applyAlignment="1">
      <alignment horizontal="left" vertical="center"/>
    </xf>
    <xf numFmtId="3" fontId="7" fillId="8" borderId="2" xfId="0" applyNumberFormat="1" applyFont="1" applyFill="1" applyBorder="1" applyAlignment="1">
      <alignment horizontal="right" vertical="center"/>
    </xf>
    <xf numFmtId="17" fontId="7" fillId="5" borderId="2" xfId="0" applyNumberFormat="1" applyFont="1" applyFill="1" applyBorder="1" applyAlignment="1">
      <alignment horizontal="left" vertical="center"/>
    </xf>
    <xf numFmtId="0" fontId="2" fillId="5" borderId="1" xfId="0" applyFont="1" applyFill="1" applyAlignment="1">
      <alignment horizontal="left" vertical="center"/>
    </xf>
    <xf numFmtId="0" fontId="14" fillId="0" borderId="1" xfId="0" applyFont="1"/>
    <xf numFmtId="0" fontId="17" fillId="12" borderId="8" xfId="0" applyFont="1" applyFill="1" applyBorder="1" applyAlignment="1">
      <alignment horizontal="left" vertical="center"/>
    </xf>
    <xf numFmtId="3" fontId="18" fillId="13" borderId="8" xfId="0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left" vertical="center"/>
    </xf>
    <xf numFmtId="0" fontId="0" fillId="0" borderId="5" xfId="0" applyBorder="1"/>
    <xf numFmtId="0" fontId="0" fillId="0" borderId="4" xfId="0" applyBorder="1"/>
    <xf numFmtId="0" fontId="7" fillId="5" borderId="2" xfId="0" applyFont="1" applyFill="1" applyBorder="1" applyAlignment="1">
      <alignment horizontal="left" vertical="center"/>
    </xf>
    <xf numFmtId="0" fontId="7" fillId="3" borderId="1" xfId="0" applyFont="1" applyFill="1" applyAlignment="1">
      <alignment horizontal="left" vertical="center"/>
    </xf>
    <xf numFmtId="0" fontId="12" fillId="0" borderId="0" xfId="0" applyFont="1" applyBorder="1"/>
    <xf numFmtId="0" fontId="8" fillId="6" borderId="1" xfId="0" applyFont="1" applyFill="1" applyAlignment="1">
      <alignment horizontal="left" vertical="center"/>
    </xf>
    <xf numFmtId="0" fontId="16" fillId="2" borderId="1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center"/>
    </xf>
    <xf numFmtId="0" fontId="8" fillId="6" borderId="7" xfId="0" applyFont="1" applyFill="1" applyBorder="1" applyAlignment="1">
      <alignment horizontal="left" vertical="center"/>
    </xf>
    <xf numFmtId="0" fontId="0" fillId="0" borderId="7" xfId="0" applyBorder="1"/>
    <xf numFmtId="0" fontId="8" fillId="6" borderId="3" xfId="0" applyFont="1" applyFill="1" applyBorder="1" applyAlignment="1">
      <alignment horizontal="left" vertical="center"/>
    </xf>
    <xf numFmtId="0" fontId="0" fillId="0" borderId="3" xfId="0" applyBorder="1"/>
    <xf numFmtId="0" fontId="8" fillId="6" borderId="1" xfId="0" applyFont="1" applyFill="1" applyAlignment="1">
      <alignment horizontal="center" vertical="center" wrapText="1"/>
    </xf>
    <xf numFmtId="0" fontId="6" fillId="0" borderId="0" xfId="0" applyFont="1" applyBorder="1"/>
    <xf numFmtId="0" fontId="8" fillId="2" borderId="1" xfId="0" applyFont="1" applyFill="1" applyAlignment="1">
      <alignment horizontal="center" vertical="center" wrapText="1"/>
    </xf>
    <xf numFmtId="0" fontId="0" fillId="0" borderId="6" xfId="0" applyBorder="1"/>
    <xf numFmtId="0" fontId="9" fillId="3" borderId="1" xfId="0" applyFont="1" applyFill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right" vertical="center"/>
    </xf>
    <xf numFmtId="0" fontId="3" fillId="6" borderId="1" xfId="0" applyFont="1" applyFill="1" applyAlignment="1">
      <alignment horizontal="left" vertical="center"/>
    </xf>
    <xf numFmtId="0" fontId="14" fillId="0" borderId="0" xfId="0" applyFont="1" applyBorder="1"/>
    <xf numFmtId="3" fontId="2" fillId="5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Alignment="1">
      <alignment horizontal="left" vertical="center"/>
    </xf>
    <xf numFmtId="0" fontId="8" fillId="2" borderId="1" xfId="0" applyFont="1" applyFill="1" applyAlignment="1">
      <alignment horizontal="left" vertical="center"/>
    </xf>
    <xf numFmtId="3" fontId="9" fillId="7" borderId="2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0"/>
  <sheetViews>
    <sheetView showGridLines="0" tabSelected="1" zoomScaleNormal="100" workbookViewId="0">
      <selection activeCell="H29" sqref="H29"/>
    </sheetView>
  </sheetViews>
  <sheetFormatPr defaultRowHeight="16.5" x14ac:dyDescent="0.35"/>
  <cols>
    <col min="1" max="1" width="2" style="17" customWidth="1"/>
    <col min="2" max="2" width="18" style="17" customWidth="1"/>
    <col min="3" max="4" width="16" style="17" customWidth="1"/>
    <col min="5" max="5" width="14" style="17" customWidth="1"/>
    <col min="6" max="6" width="13.375" style="17" bestFit="1" customWidth="1"/>
    <col min="7" max="7" width="20" style="17" customWidth="1"/>
    <col min="8" max="9" width="14" style="17" customWidth="1"/>
    <col min="10" max="10" width="9" style="17" customWidth="1"/>
    <col min="11" max="16384" width="9" style="17"/>
  </cols>
  <sheetData>
    <row r="2" spans="2:9" ht="36" customHeight="1" x14ac:dyDescent="0.35">
      <c r="B2" s="39" t="s">
        <v>0</v>
      </c>
      <c r="C2" s="37"/>
      <c r="D2" s="37"/>
      <c r="E2" s="37"/>
      <c r="F2" s="37"/>
      <c r="G2" s="37"/>
      <c r="H2" s="37"/>
      <c r="I2" s="37"/>
    </row>
    <row r="3" spans="2:9" ht="18" customHeight="1" x14ac:dyDescent="0.35">
      <c r="B3" s="36" t="s">
        <v>1</v>
      </c>
      <c r="C3" s="37"/>
      <c r="D3" s="37"/>
      <c r="E3" s="37"/>
      <c r="F3" s="37"/>
      <c r="G3" s="37"/>
      <c r="H3" s="37"/>
      <c r="I3" s="37"/>
    </row>
    <row r="5" spans="2:9" ht="21.95" customHeight="1" x14ac:dyDescent="0.35">
      <c r="B5" s="38" t="s">
        <v>2</v>
      </c>
      <c r="C5" s="37"/>
      <c r="D5" s="37"/>
      <c r="E5" s="37"/>
    </row>
    <row r="6" spans="2:9" x14ac:dyDescent="0.35">
      <c r="B6" s="8" t="s">
        <v>3</v>
      </c>
      <c r="C6" s="8" t="s">
        <v>4</v>
      </c>
      <c r="D6" s="8" t="s">
        <v>5</v>
      </c>
      <c r="E6" s="8" t="s">
        <v>6</v>
      </c>
    </row>
    <row r="7" spans="2:9" x14ac:dyDescent="0.35">
      <c r="B7" s="9" t="s">
        <v>7</v>
      </c>
      <c r="C7" s="10">
        <f>자산현황!C16</f>
        <v>6513400</v>
      </c>
      <c r="D7" s="10">
        <f>자산현황!E16</f>
        <v>21489076</v>
      </c>
      <c r="E7" s="10">
        <f>자산현황!F16</f>
        <v>28002476</v>
      </c>
    </row>
    <row r="8" spans="2:9" x14ac:dyDescent="0.35">
      <c r="B8" s="9" t="s">
        <v>8</v>
      </c>
      <c r="C8" s="10">
        <f>자산현황!C25</f>
        <v>274538299</v>
      </c>
      <c r="D8" s="10">
        <f>자산현황!E25</f>
        <v>127765857</v>
      </c>
      <c r="E8" s="10">
        <f>자산현황!F25</f>
        <v>402304156</v>
      </c>
    </row>
    <row r="9" spans="2:9" x14ac:dyDescent="0.35">
      <c r="B9" s="9" t="s">
        <v>9</v>
      </c>
      <c r="C9" s="10">
        <f>자산현황!C29</f>
        <v>130000000</v>
      </c>
      <c r="D9" s="10">
        <f>자산현황!E29</f>
        <v>0</v>
      </c>
      <c r="E9" s="10">
        <f>자산현황!F29</f>
        <v>130000000</v>
      </c>
      <c r="G9" s="38" t="s">
        <v>10</v>
      </c>
      <c r="H9" s="37"/>
      <c r="I9" s="37"/>
    </row>
    <row r="10" spans="2:9" x14ac:dyDescent="0.35">
      <c r="B10" s="9" t="s">
        <v>11</v>
      </c>
      <c r="C10" s="10">
        <f>자산현황!C36</f>
        <v>-106000000</v>
      </c>
      <c r="D10" s="10">
        <f>자산현황!E36</f>
        <v>0</v>
      </c>
      <c r="E10" s="10">
        <f>자산현황!F36</f>
        <v>-106000000</v>
      </c>
      <c r="G10" s="9" t="s">
        <v>12</v>
      </c>
      <c r="H10" s="11">
        <v>46569</v>
      </c>
      <c r="I10" s="13">
        <f ca="1">DATEDIF(TODAY(),H10,"D")</f>
        <v>409</v>
      </c>
    </row>
    <row r="11" spans="2:9" ht="24" customHeight="1" x14ac:dyDescent="0.35">
      <c r="B11" s="9" t="s">
        <v>13</v>
      </c>
      <c r="C11" s="13">
        <f>자산현황!C40</f>
        <v>305051699</v>
      </c>
      <c r="D11" s="13">
        <f>자산현황!E40</f>
        <v>149254933</v>
      </c>
      <c r="E11" s="13">
        <f>자산현황!F40</f>
        <v>454306632</v>
      </c>
      <c r="G11" s="9" t="s">
        <v>14</v>
      </c>
      <c r="H11" s="11">
        <v>46631</v>
      </c>
      <c r="I11" s="13">
        <f ca="1">DATEDIF(TODAY(),H11,"D")</f>
        <v>471</v>
      </c>
    </row>
    <row r="14" spans="2:9" ht="21.95" customHeight="1" x14ac:dyDescent="0.35">
      <c r="B14" s="38" t="s">
        <v>15</v>
      </c>
      <c r="C14" s="37"/>
      <c r="D14" s="37"/>
      <c r="E14" s="37"/>
      <c r="F14" s="37"/>
      <c r="G14" s="37"/>
      <c r="H14" s="37"/>
      <c r="I14" s="37"/>
    </row>
    <row r="15" spans="2:9" ht="17.25" x14ac:dyDescent="0.35">
      <c r="B15" s="8" t="s">
        <v>16</v>
      </c>
      <c r="C15" s="40" t="s">
        <v>3</v>
      </c>
      <c r="D15" s="33"/>
      <c r="E15" s="34"/>
      <c r="F15" s="8" t="s">
        <v>17</v>
      </c>
      <c r="G15" s="40" t="s">
        <v>18</v>
      </c>
      <c r="H15" s="34"/>
    </row>
    <row r="16" spans="2:9" ht="17.25" x14ac:dyDescent="0.35">
      <c r="B16" s="9" t="s">
        <v>19</v>
      </c>
      <c r="C16" s="32" t="s">
        <v>20</v>
      </c>
      <c r="D16" s="33"/>
      <c r="E16" s="34"/>
      <c r="F16" s="10">
        <f>부동산계획!D7</f>
        <v>220000000</v>
      </c>
      <c r="G16" s="35"/>
      <c r="H16" s="34"/>
    </row>
    <row r="17" spans="2:8" ht="17.25" x14ac:dyDescent="0.35">
      <c r="B17" s="9" t="s">
        <v>19</v>
      </c>
      <c r="C17" s="32" t="s">
        <v>21</v>
      </c>
      <c r="D17" s="33"/>
      <c r="E17" s="34"/>
      <c r="F17" s="10">
        <f>부동산계획!D9</f>
        <v>50000000</v>
      </c>
      <c r="G17" s="35"/>
      <c r="H17" s="34"/>
    </row>
    <row r="18" spans="2:8" ht="17.25" x14ac:dyDescent="0.35">
      <c r="B18" s="9" t="s">
        <v>19</v>
      </c>
      <c r="C18" s="32" t="s">
        <v>22</v>
      </c>
      <c r="D18" s="33"/>
      <c r="E18" s="34"/>
      <c r="F18" s="10">
        <f>부동산계획!D10</f>
        <v>300000000</v>
      </c>
      <c r="G18" s="35"/>
      <c r="H18" s="34"/>
    </row>
    <row r="19" spans="2:8" ht="17.25" x14ac:dyDescent="0.35">
      <c r="B19" s="9" t="s">
        <v>19</v>
      </c>
      <c r="C19" s="32" t="s">
        <v>23</v>
      </c>
      <c r="D19" s="33"/>
      <c r="E19" s="34"/>
      <c r="F19" s="10">
        <f>부동산계획!D11</f>
        <v>50000000</v>
      </c>
      <c r="G19" s="35"/>
      <c r="H19" s="34"/>
    </row>
    <row r="20" spans="2:8" ht="17.25" x14ac:dyDescent="0.35">
      <c r="B20" s="9" t="s">
        <v>19</v>
      </c>
      <c r="C20" s="32" t="s">
        <v>24</v>
      </c>
      <c r="D20" s="33"/>
      <c r="E20" s="34"/>
      <c r="F20" s="10">
        <f>결혼계획!D7</f>
        <v>50000000</v>
      </c>
      <c r="G20" s="35"/>
      <c r="H20" s="34"/>
    </row>
    <row r="21" spans="2:8" ht="17.25" x14ac:dyDescent="0.35">
      <c r="B21" s="9" t="s">
        <v>19</v>
      </c>
      <c r="C21" s="32" t="s">
        <v>25</v>
      </c>
      <c r="D21" s="33"/>
      <c r="E21" s="34"/>
      <c r="F21" s="10">
        <f>106000000</f>
        <v>106000000</v>
      </c>
      <c r="G21" s="35"/>
      <c r="H21" s="34"/>
    </row>
    <row r="22" spans="2:8" ht="20.100000000000001" customHeight="1" x14ac:dyDescent="0.35">
      <c r="B22" s="9"/>
      <c r="C22" s="32" t="s">
        <v>26</v>
      </c>
      <c r="D22" s="33"/>
      <c r="E22" s="34"/>
      <c r="F22" s="13">
        <f>SUM(F16,F17,F18,F19,F20,F21)</f>
        <v>776000000</v>
      </c>
    </row>
    <row r="23" spans="2:8" ht="17.25" x14ac:dyDescent="0.35">
      <c r="B23" s="9" t="s">
        <v>27</v>
      </c>
      <c r="C23" s="32" t="s">
        <v>28</v>
      </c>
      <c r="D23" s="33"/>
      <c r="E23" s="34"/>
      <c r="F23" s="10">
        <f>자산현황!F41</f>
        <v>324306632</v>
      </c>
      <c r="G23" s="35"/>
      <c r="H23" s="34"/>
    </row>
    <row r="24" spans="2:8" ht="17.25" x14ac:dyDescent="0.35">
      <c r="B24" s="9" t="s">
        <v>27</v>
      </c>
      <c r="C24" s="32" t="s">
        <v>29</v>
      </c>
      <c r="D24" s="33"/>
      <c r="E24" s="34"/>
      <c r="F24" s="10">
        <f>월별저축!I55</f>
        <v>69500000</v>
      </c>
      <c r="G24" s="35"/>
      <c r="H24" s="34"/>
    </row>
    <row r="25" spans="2:8" ht="17.25" x14ac:dyDescent="0.35">
      <c r="B25" s="9" t="s">
        <v>27</v>
      </c>
      <c r="C25" s="32" t="s">
        <v>30</v>
      </c>
      <c r="D25" s="33"/>
      <c r="E25" s="34"/>
      <c r="F25" s="10">
        <f>부동산계획!D8+부동산계획!D34</f>
        <v>660000000</v>
      </c>
      <c r="G25" s="35"/>
      <c r="H25" s="34"/>
    </row>
    <row r="26" spans="2:8" ht="17.25" x14ac:dyDescent="0.35">
      <c r="B26" s="9" t="s">
        <v>27</v>
      </c>
      <c r="C26" s="32" t="s">
        <v>31</v>
      </c>
      <c r="D26" s="33"/>
      <c r="E26" s="34"/>
      <c r="F26" s="10">
        <f>결혼계획!D8</f>
        <v>30000000</v>
      </c>
      <c r="G26" s="35"/>
      <c r="H26" s="34"/>
    </row>
    <row r="27" spans="2:8" ht="20.100000000000001" customHeight="1" x14ac:dyDescent="0.35">
      <c r="B27" s="9"/>
      <c r="C27" s="32" t="s">
        <v>32</v>
      </c>
      <c r="D27" s="33"/>
      <c r="E27" s="34"/>
      <c r="F27" s="13">
        <f>SUM(F23,F24,F25,F26)</f>
        <v>1083806632</v>
      </c>
    </row>
    <row r="28" spans="2:8" ht="20.100000000000001" customHeight="1" x14ac:dyDescent="0.35">
      <c r="B28" s="9"/>
      <c r="C28" s="32" t="s">
        <v>33</v>
      </c>
      <c r="D28" s="33"/>
      <c r="E28" s="34"/>
      <c r="F28" s="14">
        <f>F27-F22</f>
        <v>307806632</v>
      </c>
    </row>
    <row r="30" spans="2:8" x14ac:dyDescent="0.35">
      <c r="B30" s="18" t="s">
        <v>34</v>
      </c>
    </row>
  </sheetData>
  <mergeCells count="30">
    <mergeCell ref="C28:E28"/>
    <mergeCell ref="C19:E19"/>
    <mergeCell ref="G24:H24"/>
    <mergeCell ref="G15:H15"/>
    <mergeCell ref="C18:E18"/>
    <mergeCell ref="C15:E15"/>
    <mergeCell ref="G26:H26"/>
    <mergeCell ref="C24:E24"/>
    <mergeCell ref="G20:H20"/>
    <mergeCell ref="G16:H16"/>
    <mergeCell ref="G25:H25"/>
    <mergeCell ref="C26:E26"/>
    <mergeCell ref="C20:E20"/>
    <mergeCell ref="C25:E25"/>
    <mergeCell ref="C27:E27"/>
    <mergeCell ref="B2:I2"/>
    <mergeCell ref="C23:E23"/>
    <mergeCell ref="G19:H19"/>
    <mergeCell ref="C17:E17"/>
    <mergeCell ref="B14:I14"/>
    <mergeCell ref="G18:H18"/>
    <mergeCell ref="G9:I9"/>
    <mergeCell ref="C16:E16"/>
    <mergeCell ref="G21:H21"/>
    <mergeCell ref="C22:E22"/>
    <mergeCell ref="B3:I3"/>
    <mergeCell ref="G23:H23"/>
    <mergeCell ref="B5:E5"/>
    <mergeCell ref="C21:E21"/>
    <mergeCell ref="G17:H17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3"/>
  <sheetViews>
    <sheetView showGridLines="0" topLeftCell="A8" workbookViewId="0">
      <selection activeCell="F41" sqref="F41"/>
    </sheetView>
  </sheetViews>
  <sheetFormatPr defaultRowHeight="16.5" x14ac:dyDescent="0.35"/>
  <cols>
    <col min="1" max="1" width="2" style="17" customWidth="1"/>
    <col min="2" max="2" width="27.75" style="17" customWidth="1"/>
    <col min="3" max="3" width="12.375" style="17" bestFit="1" customWidth="1"/>
    <col min="4" max="4" width="10.5" style="17" bestFit="1" customWidth="1"/>
    <col min="5" max="5" width="11.625" style="17" bestFit="1" customWidth="1"/>
    <col min="6" max="6" width="12.375" style="17" bestFit="1" customWidth="1"/>
    <col min="7" max="7" width="21.75" style="17" bestFit="1" customWidth="1"/>
    <col min="8" max="8" width="9" style="17" customWidth="1"/>
    <col min="9" max="16384" width="9" style="17"/>
  </cols>
  <sheetData>
    <row r="2" spans="2:6" ht="36" customHeight="1" x14ac:dyDescent="0.35">
      <c r="B2" s="39" t="s">
        <v>35</v>
      </c>
      <c r="C2" s="37"/>
      <c r="D2" s="37"/>
      <c r="E2" s="37"/>
      <c r="F2" s="37"/>
    </row>
    <row r="3" spans="2:6" ht="15.95" customHeight="1" x14ac:dyDescent="0.35">
      <c r="B3" s="18" t="s">
        <v>36</v>
      </c>
    </row>
    <row r="4" spans="2:6" ht="21.95" customHeight="1" x14ac:dyDescent="0.35">
      <c r="B4" s="41" t="s">
        <v>37</v>
      </c>
      <c r="C4" s="33"/>
      <c r="D4" s="33"/>
      <c r="E4" s="33"/>
      <c r="F4" s="33"/>
    </row>
    <row r="5" spans="2:6" ht="21.95" customHeight="1" x14ac:dyDescent="0.35">
      <c r="B5" s="8" t="s">
        <v>38</v>
      </c>
      <c r="C5" s="8" t="s">
        <v>39</v>
      </c>
      <c r="D5" s="20" t="s">
        <v>38</v>
      </c>
      <c r="E5" s="20" t="s">
        <v>40</v>
      </c>
      <c r="F5" s="8" t="s">
        <v>41</v>
      </c>
    </row>
    <row r="6" spans="2:6" ht="16.5" customHeight="1" x14ac:dyDescent="0.35">
      <c r="B6" s="9" t="s">
        <v>42</v>
      </c>
      <c r="C6" s="10">
        <v>1794954</v>
      </c>
      <c r="D6" s="9" t="s">
        <v>43</v>
      </c>
      <c r="E6" s="10">
        <v>20722500</v>
      </c>
      <c r="F6" s="10">
        <f t="shared" ref="F6:F16" si="0">C6+E6</f>
        <v>22517454</v>
      </c>
    </row>
    <row r="7" spans="2:6" ht="16.5" customHeight="1" x14ac:dyDescent="0.35">
      <c r="B7" s="9" t="s">
        <v>44</v>
      </c>
      <c r="C7" s="10">
        <v>0</v>
      </c>
      <c r="D7" s="9" t="s">
        <v>44</v>
      </c>
      <c r="E7" s="10">
        <v>0</v>
      </c>
      <c r="F7" s="10">
        <f t="shared" si="0"/>
        <v>0</v>
      </c>
    </row>
    <row r="8" spans="2:6" ht="16.5" customHeight="1" x14ac:dyDescent="0.35">
      <c r="B8" s="9" t="s">
        <v>45</v>
      </c>
      <c r="C8" s="10">
        <v>72561</v>
      </c>
      <c r="D8" s="9" t="s">
        <v>46</v>
      </c>
      <c r="E8" s="10">
        <v>766576</v>
      </c>
      <c r="F8" s="10">
        <f t="shared" si="0"/>
        <v>839137</v>
      </c>
    </row>
    <row r="9" spans="2:6" x14ac:dyDescent="0.35">
      <c r="B9" s="9" t="s">
        <v>47</v>
      </c>
      <c r="C9" s="10">
        <v>109094</v>
      </c>
      <c r="D9" s="9" t="s">
        <v>47</v>
      </c>
      <c r="E9" s="10">
        <v>0</v>
      </c>
      <c r="F9" s="10">
        <f t="shared" si="0"/>
        <v>109094</v>
      </c>
    </row>
    <row r="10" spans="2:6" x14ac:dyDescent="0.35">
      <c r="B10" s="9" t="s">
        <v>48</v>
      </c>
      <c r="C10" s="10">
        <v>150012</v>
      </c>
      <c r="D10" s="9"/>
      <c r="E10" s="10"/>
      <c r="F10" s="10">
        <f t="shared" si="0"/>
        <v>150012</v>
      </c>
    </row>
    <row r="11" spans="2:6" x14ac:dyDescent="0.35">
      <c r="B11" s="9" t="s">
        <v>49</v>
      </c>
      <c r="C11" s="10">
        <v>50000</v>
      </c>
      <c r="D11" s="9"/>
      <c r="E11" s="10"/>
      <c r="F11" s="10">
        <f t="shared" si="0"/>
        <v>50000</v>
      </c>
    </row>
    <row r="12" spans="2:6" x14ac:dyDescent="0.35">
      <c r="B12" s="9" t="s">
        <v>50</v>
      </c>
      <c r="C12" s="10">
        <v>300000</v>
      </c>
      <c r="D12" s="9"/>
      <c r="E12" s="10"/>
      <c r="F12" s="10">
        <f t="shared" si="0"/>
        <v>300000</v>
      </c>
    </row>
    <row r="13" spans="2:6" x14ac:dyDescent="0.35">
      <c r="B13" s="9" t="s">
        <v>51</v>
      </c>
      <c r="C13" s="10">
        <v>36779</v>
      </c>
      <c r="D13" s="9"/>
      <c r="E13" s="10"/>
      <c r="F13" s="10">
        <f t="shared" si="0"/>
        <v>36779</v>
      </c>
    </row>
    <row r="14" spans="2:6" x14ac:dyDescent="0.35">
      <c r="B14" s="9" t="s">
        <v>52</v>
      </c>
      <c r="C14" s="10">
        <v>400000</v>
      </c>
      <c r="D14" s="9"/>
      <c r="E14" s="10"/>
      <c r="F14" s="10">
        <f t="shared" si="0"/>
        <v>400000</v>
      </c>
    </row>
    <row r="15" spans="2:6" x14ac:dyDescent="0.35">
      <c r="B15" s="9" t="s">
        <v>53</v>
      </c>
      <c r="C15" s="10">
        <v>3600000</v>
      </c>
      <c r="D15" s="9"/>
      <c r="E15" s="10"/>
      <c r="F15" s="10">
        <f t="shared" si="0"/>
        <v>3600000</v>
      </c>
    </row>
    <row r="16" spans="2:6" ht="20.100000000000001" customHeight="1" x14ac:dyDescent="0.35">
      <c r="B16" s="9" t="s">
        <v>54</v>
      </c>
      <c r="C16" s="13">
        <f>SUM(C6:C15)</f>
        <v>6513400</v>
      </c>
      <c r="D16" s="13"/>
      <c r="E16" s="13">
        <f>SUM(E6,E8,E9,E10,E11,E12,E13,E14,E15)</f>
        <v>21489076</v>
      </c>
      <c r="F16" s="13">
        <f t="shared" si="0"/>
        <v>28002476</v>
      </c>
    </row>
    <row r="17" spans="2:7" ht="21.95" customHeight="1" x14ac:dyDescent="0.35">
      <c r="B17" s="41" t="s">
        <v>55</v>
      </c>
      <c r="C17" s="33"/>
      <c r="D17" s="33"/>
      <c r="E17" s="33"/>
      <c r="F17" s="33"/>
    </row>
    <row r="18" spans="2:7" ht="21.95" customHeight="1" x14ac:dyDescent="0.35">
      <c r="B18" s="8" t="s">
        <v>38</v>
      </c>
      <c r="C18" s="8" t="s">
        <v>39</v>
      </c>
      <c r="D18" s="20" t="s">
        <v>38</v>
      </c>
      <c r="E18" s="20" t="s">
        <v>40</v>
      </c>
      <c r="F18" s="8" t="s">
        <v>41</v>
      </c>
    </row>
    <row r="19" spans="2:7" x14ac:dyDescent="0.35">
      <c r="B19" s="9" t="s">
        <v>56</v>
      </c>
      <c r="C19" s="10">
        <v>87576544</v>
      </c>
      <c r="D19" s="9" t="s">
        <v>57</v>
      </c>
      <c r="E19" s="10">
        <v>76114704</v>
      </c>
      <c r="F19" s="10">
        <f t="shared" ref="F19:F25" si="1">C19+E19</f>
        <v>163691248</v>
      </c>
    </row>
    <row r="20" spans="2:7" x14ac:dyDescent="0.35">
      <c r="B20" s="9" t="s">
        <v>58</v>
      </c>
      <c r="C20" s="10">
        <v>99471104</v>
      </c>
      <c r="D20" s="9" t="s">
        <v>59</v>
      </c>
      <c r="E20" s="10">
        <v>41075120</v>
      </c>
      <c r="F20" s="10">
        <f t="shared" si="1"/>
        <v>140546224</v>
      </c>
    </row>
    <row r="21" spans="2:7" x14ac:dyDescent="0.35">
      <c r="B21" s="9" t="s">
        <v>60</v>
      </c>
      <c r="C21" s="10">
        <v>9381394</v>
      </c>
      <c r="D21" s="9" t="s">
        <v>61</v>
      </c>
      <c r="E21" s="10">
        <v>2035000</v>
      </c>
      <c r="F21" s="10">
        <f t="shared" si="1"/>
        <v>11416394</v>
      </c>
    </row>
    <row r="22" spans="2:7" x14ac:dyDescent="0.35">
      <c r="B22" s="9" t="s">
        <v>62</v>
      </c>
      <c r="C22" s="10">
        <v>9381394</v>
      </c>
      <c r="D22" s="9" t="s">
        <v>63</v>
      </c>
      <c r="E22" s="10">
        <v>5297783</v>
      </c>
      <c r="F22" s="10">
        <f t="shared" si="1"/>
        <v>14679177</v>
      </c>
    </row>
    <row r="23" spans="2:7" x14ac:dyDescent="0.35">
      <c r="B23" s="9" t="s">
        <v>64</v>
      </c>
      <c r="C23" s="10">
        <v>37464836</v>
      </c>
      <c r="D23" s="9" t="s">
        <v>65</v>
      </c>
      <c r="E23" s="10">
        <v>2562952</v>
      </c>
      <c r="F23" s="10">
        <f t="shared" si="1"/>
        <v>40027788</v>
      </c>
    </row>
    <row r="24" spans="2:7" x14ac:dyDescent="0.35">
      <c r="B24" s="9" t="s">
        <v>66</v>
      </c>
      <c r="C24" s="10">
        <v>31263027</v>
      </c>
      <c r="D24" s="9" t="s">
        <v>67</v>
      </c>
      <c r="E24" s="10">
        <v>680298</v>
      </c>
      <c r="F24" s="10">
        <f t="shared" si="1"/>
        <v>31943325</v>
      </c>
    </row>
    <row r="25" spans="2:7" ht="20.100000000000001" customHeight="1" x14ac:dyDescent="0.35">
      <c r="B25" s="9" t="s">
        <v>54</v>
      </c>
      <c r="C25" s="13">
        <f>SUM(C19,C20,C21,C22,C23,C24)</f>
        <v>274538299</v>
      </c>
      <c r="D25" s="13"/>
      <c r="E25" s="13">
        <f>SUM(E19,E20,E21,E22,E23,E24)</f>
        <v>127765857</v>
      </c>
      <c r="F25" s="13">
        <f t="shared" si="1"/>
        <v>402304156</v>
      </c>
    </row>
    <row r="26" spans="2:7" ht="21.95" customHeight="1" x14ac:dyDescent="0.35">
      <c r="B26" s="44" t="s">
        <v>68</v>
      </c>
      <c r="C26" s="45"/>
      <c r="D26" s="45"/>
      <c r="E26" s="45"/>
      <c r="F26" s="45"/>
    </row>
    <row r="27" spans="2:7" ht="21.95" customHeight="1" x14ac:dyDescent="0.35">
      <c r="B27" s="8" t="s">
        <v>38</v>
      </c>
      <c r="C27" s="8" t="s">
        <v>39</v>
      </c>
      <c r="D27" s="20" t="s">
        <v>38</v>
      </c>
      <c r="E27" s="20" t="s">
        <v>40</v>
      </c>
      <c r="F27" s="8" t="s">
        <v>41</v>
      </c>
    </row>
    <row r="28" spans="2:7" x14ac:dyDescent="0.35">
      <c r="B28" s="9" t="s">
        <v>69</v>
      </c>
      <c r="C28" s="10">
        <v>130000000</v>
      </c>
      <c r="E28" s="10">
        <v>0</v>
      </c>
      <c r="F28" s="10">
        <f>C28+E28</f>
        <v>130000000</v>
      </c>
      <c r="G28" s="12" t="s">
        <v>70</v>
      </c>
    </row>
    <row r="29" spans="2:7" ht="20.100000000000001" customHeight="1" x14ac:dyDescent="0.35">
      <c r="B29" s="9" t="s">
        <v>54</v>
      </c>
      <c r="C29" s="13">
        <f>SUM(C28)</f>
        <v>130000000</v>
      </c>
      <c r="D29" s="13"/>
      <c r="E29" s="13">
        <f>SUM(E28)</f>
        <v>0</v>
      </c>
      <c r="F29" s="13">
        <f>C29+E29</f>
        <v>130000000</v>
      </c>
    </row>
    <row r="30" spans="2:7" ht="21.95" customHeight="1" x14ac:dyDescent="0.35">
      <c r="B30" s="41" t="s">
        <v>71</v>
      </c>
      <c r="C30" s="33"/>
      <c r="D30" s="33"/>
      <c r="E30" s="33"/>
      <c r="F30" s="33"/>
    </row>
    <row r="31" spans="2:7" ht="21.95" customHeight="1" x14ac:dyDescent="0.35">
      <c r="B31" s="8" t="s">
        <v>38</v>
      </c>
      <c r="C31" s="8" t="s">
        <v>39</v>
      </c>
      <c r="D31" s="20" t="s">
        <v>38</v>
      </c>
      <c r="E31" s="20" t="s">
        <v>40</v>
      </c>
      <c r="F31" s="8" t="s">
        <v>41</v>
      </c>
    </row>
    <row r="32" spans="2:7" x14ac:dyDescent="0.35">
      <c r="B32" s="9" t="s">
        <v>72</v>
      </c>
      <c r="C32" s="10">
        <v>-106000000</v>
      </c>
      <c r="D32" s="30" t="s">
        <v>72</v>
      </c>
      <c r="E32" s="10">
        <v>0</v>
      </c>
      <c r="F32" s="10">
        <f>C32+E32</f>
        <v>-106000000</v>
      </c>
    </row>
    <row r="33" spans="2:6" ht="20.100000000000001" customHeight="1" x14ac:dyDescent="0.35">
      <c r="B33" s="30" t="s">
        <v>73</v>
      </c>
      <c r="C33" s="31">
        <v>0</v>
      </c>
      <c r="D33" s="30" t="s">
        <v>73</v>
      </c>
      <c r="E33" s="31">
        <v>0</v>
      </c>
      <c r="F33" s="31">
        <f>C33+E33</f>
        <v>0</v>
      </c>
    </row>
    <row r="34" spans="2:6" x14ac:dyDescent="0.35">
      <c r="B34" s="30" t="s">
        <v>74</v>
      </c>
      <c r="C34" s="31">
        <v>0</v>
      </c>
      <c r="D34" s="30" t="s">
        <v>74</v>
      </c>
      <c r="E34" s="31">
        <v>0</v>
      </c>
      <c r="F34" s="31">
        <f>C34+E34</f>
        <v>0</v>
      </c>
    </row>
    <row r="35" spans="2:6" ht="21.95" customHeight="1" x14ac:dyDescent="0.35">
      <c r="B35" s="30" t="s">
        <v>75</v>
      </c>
      <c r="C35" s="31">
        <v>0</v>
      </c>
      <c r="D35" s="30" t="s">
        <v>75</v>
      </c>
      <c r="E35" s="31">
        <v>0</v>
      </c>
      <c r="F35" s="31">
        <f>C35+E35</f>
        <v>0</v>
      </c>
    </row>
    <row r="36" spans="2:6" ht="21.95" customHeight="1" x14ac:dyDescent="0.35">
      <c r="B36" s="9" t="s">
        <v>54</v>
      </c>
      <c r="C36" s="13">
        <f>SUM(C32:C35)</f>
        <v>-106000000</v>
      </c>
      <c r="D36" s="13"/>
      <c r="E36" s="13">
        <f>SUM(E32:E35)</f>
        <v>0</v>
      </c>
      <c r="F36" s="13">
        <f>C36+E36</f>
        <v>-106000000</v>
      </c>
    </row>
    <row r="37" spans="2:6" ht="26.1" customHeight="1" x14ac:dyDescent="0.35"/>
    <row r="38" spans="2:6" ht="21.95" customHeight="1" x14ac:dyDescent="0.35">
      <c r="B38" s="42" t="s">
        <v>76</v>
      </c>
      <c r="C38" s="43"/>
      <c r="D38" s="43"/>
      <c r="E38" s="43"/>
      <c r="F38" s="43"/>
    </row>
    <row r="39" spans="2:6" x14ac:dyDescent="0.35">
      <c r="B39" s="8" t="s">
        <v>38</v>
      </c>
      <c r="C39" s="8" t="s">
        <v>39</v>
      </c>
      <c r="D39" s="20" t="s">
        <v>38</v>
      </c>
      <c r="E39" s="20" t="s">
        <v>40</v>
      </c>
      <c r="F39" s="8" t="s">
        <v>41</v>
      </c>
    </row>
    <row r="40" spans="2:6" x14ac:dyDescent="0.35">
      <c r="B40" s="9" t="s">
        <v>77</v>
      </c>
      <c r="C40" s="13">
        <f>C16+C25+C29+C36</f>
        <v>305051699</v>
      </c>
      <c r="D40" s="13">
        <f>D16+D25+D29+D36</f>
        <v>0</v>
      </c>
      <c r="E40" s="13">
        <f>E16+E25+E29+E36</f>
        <v>149254933</v>
      </c>
      <c r="F40" s="13">
        <f>F16+F25+F29+F36</f>
        <v>454306632</v>
      </c>
    </row>
    <row r="41" spans="2:6" x14ac:dyDescent="0.35">
      <c r="B41" s="9" t="s">
        <v>239</v>
      </c>
      <c r="C41" s="13">
        <f>C16+C25+C36</f>
        <v>175051699</v>
      </c>
      <c r="D41" s="13">
        <f>D16+D25+D36</f>
        <v>0</v>
      </c>
      <c r="E41" s="13">
        <f>E16+E25+E36</f>
        <v>149254933</v>
      </c>
      <c r="F41" s="13">
        <f>C41+E41</f>
        <v>324306632</v>
      </c>
    </row>
    <row r="43" spans="2:6" x14ac:dyDescent="0.35">
      <c r="B43" s="18" t="s">
        <v>78</v>
      </c>
    </row>
  </sheetData>
  <mergeCells count="6">
    <mergeCell ref="B4:F4"/>
    <mergeCell ref="B30:F30"/>
    <mergeCell ref="B38:F38"/>
    <mergeCell ref="B2:F2"/>
    <mergeCell ref="B26:F26"/>
    <mergeCell ref="B17:F17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40"/>
  <sheetViews>
    <sheetView showGridLines="0" workbookViewId="0">
      <selection activeCell="E32" sqref="E32"/>
    </sheetView>
  </sheetViews>
  <sheetFormatPr defaultRowHeight="18" x14ac:dyDescent="0.35"/>
  <cols>
    <col min="1" max="1" width="2" style="7" customWidth="1"/>
    <col min="2" max="2" width="9.625" style="7" customWidth="1"/>
    <col min="3" max="3" width="9.5" style="7" bestFit="1" customWidth="1"/>
    <col min="4" max="4" width="10.375" style="7" bestFit="1" customWidth="1"/>
    <col min="5" max="5" width="9.5" style="7" bestFit="1" customWidth="1"/>
    <col min="6" max="6" width="8.625" style="7" bestFit="1" customWidth="1"/>
    <col min="7" max="7" width="10.375" style="7" bestFit="1" customWidth="1"/>
    <col min="8" max="8" width="9.5" style="7" bestFit="1" customWidth="1"/>
    <col min="9" max="9" width="10.375" style="7" bestFit="1" customWidth="1"/>
    <col min="10" max="10" width="8.625" style="7" bestFit="1" customWidth="1"/>
    <col min="11" max="13" width="10.375" style="7" bestFit="1" customWidth="1"/>
    <col min="14" max="14" width="7.625" style="7" bestFit="1" customWidth="1"/>
    <col min="15" max="15" width="9" style="7" customWidth="1"/>
    <col min="16" max="16384" width="9" style="7"/>
  </cols>
  <sheetData>
    <row r="2" spans="2:14" ht="36" customHeight="1" x14ac:dyDescent="0.35">
      <c r="B2" s="39" t="s">
        <v>79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4" ht="15.95" customHeight="1" x14ac:dyDescent="0.35">
      <c r="B3" s="15" t="s">
        <v>80</v>
      </c>
    </row>
    <row r="4" spans="2:14" x14ac:dyDescent="0.35">
      <c r="B4" s="40" t="s">
        <v>81</v>
      </c>
      <c r="C4" s="48" t="s">
        <v>39</v>
      </c>
      <c r="D4" s="47"/>
      <c r="E4" s="47"/>
      <c r="F4" s="47"/>
      <c r="G4" s="47"/>
      <c r="H4" s="46" t="s">
        <v>40</v>
      </c>
      <c r="I4" s="47"/>
      <c r="J4" s="47"/>
      <c r="K4" s="47"/>
      <c r="L4" s="50" t="s">
        <v>41</v>
      </c>
      <c r="M4" s="47"/>
      <c r="N4" s="47"/>
    </row>
    <row r="5" spans="2:14" x14ac:dyDescent="0.35">
      <c r="B5" s="49"/>
      <c r="C5" s="8" t="s">
        <v>7</v>
      </c>
      <c r="D5" s="8" t="s">
        <v>82</v>
      </c>
      <c r="E5" s="8" t="s">
        <v>83</v>
      </c>
      <c r="F5" s="8" t="s">
        <v>53</v>
      </c>
      <c r="G5" s="8" t="s">
        <v>84</v>
      </c>
      <c r="H5" s="8" t="s">
        <v>7</v>
      </c>
      <c r="I5" s="8" t="s">
        <v>85</v>
      </c>
      <c r="J5" s="8" t="s">
        <v>83</v>
      </c>
      <c r="K5" s="8" t="s">
        <v>84</v>
      </c>
      <c r="L5" s="8" t="s">
        <v>76</v>
      </c>
      <c r="M5" s="8" t="s">
        <v>86</v>
      </c>
      <c r="N5" s="8" t="s">
        <v>87</v>
      </c>
    </row>
    <row r="6" spans="2:14" x14ac:dyDescent="0.35">
      <c r="B6" s="21">
        <v>46143</v>
      </c>
      <c r="C6" s="10">
        <f>자산현황!C16</f>
        <v>6513400</v>
      </c>
      <c r="D6" s="10">
        <f>SUM(자산현황!C19+자산현황!C20+자산현황!C21+자산현황!C24)</f>
        <v>227692069</v>
      </c>
      <c r="E6" s="10">
        <v>21144836</v>
      </c>
      <c r="F6" s="10">
        <v>9381394</v>
      </c>
      <c r="G6" s="10">
        <f>SUM(C6:F6)</f>
        <v>264731699</v>
      </c>
      <c r="H6" s="10">
        <f>자산현황!E16</f>
        <v>21489076</v>
      </c>
      <c r="I6" s="10">
        <f>자산현황!E19+자산현황!E20+자산현황!E21+자산현황!E22+자산현황!E24</f>
        <v>125202905</v>
      </c>
      <c r="J6" s="10">
        <f>자산현황!E23</f>
        <v>2562952</v>
      </c>
      <c r="K6" s="10">
        <f>SUM(H6:J6)</f>
        <v>149254933</v>
      </c>
      <c r="L6" s="10">
        <f t="shared" ref="L6:L37" si="0">G6+K6</f>
        <v>413986632</v>
      </c>
      <c r="M6" s="10"/>
      <c r="N6" s="22"/>
    </row>
    <row r="7" spans="2:14" x14ac:dyDescent="0.35">
      <c r="B7" s="21">
        <v>46174</v>
      </c>
      <c r="C7" s="10">
        <v>0</v>
      </c>
      <c r="D7" s="10">
        <v>0</v>
      </c>
      <c r="E7" s="10">
        <v>0</v>
      </c>
      <c r="F7" s="10">
        <v>0</v>
      </c>
      <c r="G7" s="10">
        <f>SUM(C7:F7)</f>
        <v>0</v>
      </c>
      <c r="H7" s="10">
        <v>0</v>
      </c>
      <c r="I7" s="10">
        <v>0</v>
      </c>
      <c r="J7" s="10">
        <v>0</v>
      </c>
      <c r="K7" s="10">
        <f>SUM(H7:J7)</f>
        <v>0</v>
      </c>
      <c r="L7" s="10">
        <f t="shared" si="0"/>
        <v>0</v>
      </c>
      <c r="M7" s="10">
        <f t="shared" ref="M7:M37" si="1">L7-L6</f>
        <v>-413986632</v>
      </c>
      <c r="N7" s="22">
        <f t="shared" ref="N7:N37" si="2">IF(L6=0,0,(L7-L6)/ABS(L6))</f>
        <v>-1</v>
      </c>
    </row>
    <row r="8" spans="2:14" x14ac:dyDescent="0.35">
      <c r="B8" s="21">
        <v>46204</v>
      </c>
      <c r="C8" s="10"/>
      <c r="D8" s="10"/>
      <c r="E8" s="10"/>
      <c r="F8" s="10"/>
      <c r="G8" s="10">
        <f t="shared" ref="G8:G37" si="3">C8+D8+E8+F8</f>
        <v>0</v>
      </c>
      <c r="H8" s="10"/>
      <c r="I8" s="10"/>
      <c r="J8" s="10"/>
      <c r="K8" s="10" t="str">
        <f t="shared" ref="K8:K37" ca="1" si="4">H8+I8+J8+K8</f>
        <v/>
      </c>
      <c r="L8" s="10" t="str">
        <f t="shared" ca="1" si="0"/>
        <v/>
      </c>
      <c r="M8" s="10" t="str">
        <f t="shared" ca="1" si="1"/>
        <v/>
      </c>
      <c r="N8" s="22">
        <f t="shared" si="2"/>
        <v>0</v>
      </c>
    </row>
    <row r="9" spans="2:14" x14ac:dyDescent="0.35">
      <c r="B9" s="21">
        <v>46235</v>
      </c>
      <c r="C9" s="10"/>
      <c r="D9" s="10"/>
      <c r="E9" s="10"/>
      <c r="F9" s="10"/>
      <c r="G9" s="10">
        <f t="shared" si="3"/>
        <v>0</v>
      </c>
      <c r="H9" s="10"/>
      <c r="I9" s="10"/>
      <c r="J9" s="10"/>
      <c r="K9" s="10" t="str">
        <f t="shared" ca="1" si="4"/>
        <v/>
      </c>
      <c r="L9" s="10" t="str">
        <f t="shared" ca="1" si="0"/>
        <v/>
      </c>
      <c r="M9" s="10" t="str">
        <f t="shared" ca="1" si="1"/>
        <v/>
      </c>
      <c r="N9" s="22" t="str">
        <f t="shared" ca="1" si="2"/>
        <v/>
      </c>
    </row>
    <row r="10" spans="2:14" x14ac:dyDescent="0.35">
      <c r="B10" s="21">
        <v>46266</v>
      </c>
      <c r="C10" s="10"/>
      <c r="D10" s="10"/>
      <c r="E10" s="10"/>
      <c r="F10" s="10"/>
      <c r="G10" s="10">
        <f t="shared" si="3"/>
        <v>0</v>
      </c>
      <c r="H10" s="10"/>
      <c r="I10" s="10"/>
      <c r="J10" s="10"/>
      <c r="K10" s="10" t="str">
        <f t="shared" ca="1" si="4"/>
        <v/>
      </c>
      <c r="L10" s="10" t="str">
        <f t="shared" ca="1" si="0"/>
        <v/>
      </c>
      <c r="M10" s="10" t="str">
        <f t="shared" ca="1" si="1"/>
        <v/>
      </c>
      <c r="N10" s="22" t="str">
        <f t="shared" ca="1" si="2"/>
        <v/>
      </c>
    </row>
    <row r="11" spans="2:14" x14ac:dyDescent="0.35">
      <c r="B11" s="21">
        <v>46296</v>
      </c>
      <c r="C11" s="10"/>
      <c r="D11" s="10"/>
      <c r="E11" s="10"/>
      <c r="F11" s="10"/>
      <c r="G11" s="10">
        <f t="shared" si="3"/>
        <v>0</v>
      </c>
      <c r="H11" s="10"/>
      <c r="I11" s="10"/>
      <c r="J11" s="10"/>
      <c r="K11" s="10" t="str">
        <f t="shared" ca="1" si="4"/>
        <v/>
      </c>
      <c r="L11" s="10" t="str">
        <f t="shared" ca="1" si="0"/>
        <v/>
      </c>
      <c r="M11" s="10" t="str">
        <f t="shared" ca="1" si="1"/>
        <v/>
      </c>
      <c r="N11" s="22" t="str">
        <f t="shared" ca="1" si="2"/>
        <v/>
      </c>
    </row>
    <row r="12" spans="2:14" x14ac:dyDescent="0.35">
      <c r="B12" s="21">
        <v>46327</v>
      </c>
      <c r="C12" s="10"/>
      <c r="D12" s="10"/>
      <c r="E12" s="10"/>
      <c r="F12" s="10"/>
      <c r="G12" s="10">
        <f t="shared" si="3"/>
        <v>0</v>
      </c>
      <c r="H12" s="10"/>
      <c r="I12" s="10"/>
      <c r="J12" s="10"/>
      <c r="K12" s="10" t="str">
        <f t="shared" ca="1" si="4"/>
        <v/>
      </c>
      <c r="L12" s="10" t="str">
        <f t="shared" ca="1" si="0"/>
        <v/>
      </c>
      <c r="M12" s="10" t="str">
        <f t="shared" ca="1" si="1"/>
        <v/>
      </c>
      <c r="N12" s="22" t="str">
        <f t="shared" ca="1" si="2"/>
        <v/>
      </c>
    </row>
    <row r="13" spans="2:14" x14ac:dyDescent="0.35">
      <c r="B13" s="21">
        <v>46357</v>
      </c>
      <c r="C13" s="10"/>
      <c r="D13" s="10"/>
      <c r="E13" s="10"/>
      <c r="F13" s="10"/>
      <c r="G13" s="10">
        <f t="shared" si="3"/>
        <v>0</v>
      </c>
      <c r="H13" s="10"/>
      <c r="I13" s="10"/>
      <c r="J13" s="10"/>
      <c r="K13" s="10" t="str">
        <f t="shared" ca="1" si="4"/>
        <v/>
      </c>
      <c r="L13" s="10" t="str">
        <f t="shared" ca="1" si="0"/>
        <v/>
      </c>
      <c r="M13" s="10" t="str">
        <f t="shared" ca="1" si="1"/>
        <v/>
      </c>
      <c r="N13" s="22" t="str">
        <f t="shared" ca="1" si="2"/>
        <v/>
      </c>
    </row>
    <row r="14" spans="2:14" x14ac:dyDescent="0.35">
      <c r="B14" s="21">
        <v>46388</v>
      </c>
      <c r="C14" s="10"/>
      <c r="D14" s="10"/>
      <c r="E14" s="10"/>
      <c r="F14" s="10"/>
      <c r="G14" s="10">
        <f t="shared" si="3"/>
        <v>0</v>
      </c>
      <c r="H14" s="10"/>
      <c r="I14" s="10"/>
      <c r="J14" s="10"/>
      <c r="K14" s="10" t="str">
        <f t="shared" ca="1" si="4"/>
        <v/>
      </c>
      <c r="L14" s="10" t="str">
        <f t="shared" ca="1" si="0"/>
        <v/>
      </c>
      <c r="M14" s="10" t="str">
        <f t="shared" ca="1" si="1"/>
        <v/>
      </c>
      <c r="N14" s="22" t="str">
        <f t="shared" ca="1" si="2"/>
        <v/>
      </c>
    </row>
    <row r="15" spans="2:14" x14ac:dyDescent="0.35">
      <c r="B15" s="21">
        <v>46419</v>
      </c>
      <c r="C15" s="10"/>
      <c r="D15" s="10"/>
      <c r="E15" s="10"/>
      <c r="F15" s="10"/>
      <c r="G15" s="10">
        <f t="shared" si="3"/>
        <v>0</v>
      </c>
      <c r="H15" s="10"/>
      <c r="I15" s="10"/>
      <c r="J15" s="10"/>
      <c r="K15" s="10" t="str">
        <f t="shared" ca="1" si="4"/>
        <v/>
      </c>
      <c r="L15" s="10" t="str">
        <f t="shared" ca="1" si="0"/>
        <v/>
      </c>
      <c r="M15" s="10" t="str">
        <f t="shared" ca="1" si="1"/>
        <v/>
      </c>
      <c r="N15" s="22" t="str">
        <f t="shared" ca="1" si="2"/>
        <v/>
      </c>
    </row>
    <row r="16" spans="2:14" x14ac:dyDescent="0.35">
      <c r="B16" s="21">
        <v>46447</v>
      </c>
      <c r="C16" s="10"/>
      <c r="D16" s="10"/>
      <c r="E16" s="10"/>
      <c r="F16" s="10"/>
      <c r="G16" s="10">
        <f t="shared" si="3"/>
        <v>0</v>
      </c>
      <c r="H16" s="10"/>
      <c r="I16" s="10"/>
      <c r="J16" s="10"/>
      <c r="K16" s="10" t="str">
        <f t="shared" ca="1" si="4"/>
        <v/>
      </c>
      <c r="L16" s="10" t="str">
        <f t="shared" ca="1" si="0"/>
        <v/>
      </c>
      <c r="M16" s="10" t="str">
        <f t="shared" ca="1" si="1"/>
        <v/>
      </c>
      <c r="N16" s="22" t="str">
        <f t="shared" ca="1" si="2"/>
        <v/>
      </c>
    </row>
    <row r="17" spans="2:14" x14ac:dyDescent="0.35">
      <c r="B17" s="21">
        <v>46478</v>
      </c>
      <c r="C17" s="10"/>
      <c r="D17" s="10"/>
      <c r="E17" s="10"/>
      <c r="F17" s="10"/>
      <c r="G17" s="10">
        <f t="shared" si="3"/>
        <v>0</v>
      </c>
      <c r="H17" s="10"/>
      <c r="I17" s="10"/>
      <c r="J17" s="10"/>
      <c r="K17" s="10" t="str">
        <f t="shared" ca="1" si="4"/>
        <v/>
      </c>
      <c r="L17" s="10" t="str">
        <f t="shared" ca="1" si="0"/>
        <v/>
      </c>
      <c r="M17" s="10" t="str">
        <f t="shared" ca="1" si="1"/>
        <v/>
      </c>
      <c r="N17" s="22" t="str">
        <f t="shared" ca="1" si="2"/>
        <v/>
      </c>
    </row>
    <row r="18" spans="2:14" x14ac:dyDescent="0.35">
      <c r="B18" s="21">
        <v>46508</v>
      </c>
      <c r="C18" s="10"/>
      <c r="D18" s="10"/>
      <c r="E18" s="10"/>
      <c r="F18" s="10"/>
      <c r="G18" s="10">
        <f t="shared" si="3"/>
        <v>0</v>
      </c>
      <c r="H18" s="10"/>
      <c r="I18" s="10"/>
      <c r="J18" s="10"/>
      <c r="K18" s="10" t="str">
        <f t="shared" ca="1" si="4"/>
        <v/>
      </c>
      <c r="L18" s="10" t="str">
        <f t="shared" ca="1" si="0"/>
        <v/>
      </c>
      <c r="M18" s="10" t="str">
        <f t="shared" ca="1" si="1"/>
        <v/>
      </c>
      <c r="N18" s="22" t="str">
        <f t="shared" ca="1" si="2"/>
        <v/>
      </c>
    </row>
    <row r="19" spans="2:14" x14ac:dyDescent="0.35">
      <c r="B19" s="21">
        <v>46539</v>
      </c>
      <c r="C19" s="10"/>
      <c r="D19" s="10"/>
      <c r="E19" s="10"/>
      <c r="F19" s="10"/>
      <c r="G19" s="10">
        <f t="shared" si="3"/>
        <v>0</v>
      </c>
      <c r="H19" s="10"/>
      <c r="I19" s="10"/>
      <c r="J19" s="10"/>
      <c r="K19" s="10" t="str">
        <f t="shared" ca="1" si="4"/>
        <v/>
      </c>
      <c r="L19" s="10" t="str">
        <f t="shared" ca="1" si="0"/>
        <v/>
      </c>
      <c r="M19" s="10" t="str">
        <f t="shared" ca="1" si="1"/>
        <v/>
      </c>
      <c r="N19" s="22" t="str">
        <f t="shared" ca="1" si="2"/>
        <v/>
      </c>
    </row>
    <row r="20" spans="2:14" x14ac:dyDescent="0.35">
      <c r="B20" s="21">
        <v>46569</v>
      </c>
      <c r="C20" s="10"/>
      <c r="D20" s="10"/>
      <c r="E20" s="10"/>
      <c r="F20" s="10"/>
      <c r="G20" s="10">
        <f t="shared" si="3"/>
        <v>0</v>
      </c>
      <c r="H20" s="10"/>
      <c r="I20" s="10"/>
      <c r="J20" s="10"/>
      <c r="K20" s="10" t="str">
        <f t="shared" ca="1" si="4"/>
        <v/>
      </c>
      <c r="L20" s="10" t="str">
        <f t="shared" ca="1" si="0"/>
        <v/>
      </c>
      <c r="M20" s="10" t="str">
        <f t="shared" ca="1" si="1"/>
        <v/>
      </c>
      <c r="N20" s="22" t="str">
        <f t="shared" ca="1" si="2"/>
        <v/>
      </c>
    </row>
    <row r="21" spans="2:14" x14ac:dyDescent="0.35">
      <c r="B21" s="21">
        <v>46600</v>
      </c>
      <c r="C21" s="10"/>
      <c r="D21" s="10"/>
      <c r="E21" s="10"/>
      <c r="F21" s="10"/>
      <c r="G21" s="10">
        <f t="shared" si="3"/>
        <v>0</v>
      </c>
      <c r="H21" s="10"/>
      <c r="I21" s="10"/>
      <c r="J21" s="10"/>
      <c r="K21" s="10" t="str">
        <f t="shared" ca="1" si="4"/>
        <v/>
      </c>
      <c r="L21" s="10" t="str">
        <f t="shared" ca="1" si="0"/>
        <v/>
      </c>
      <c r="M21" s="10" t="str">
        <f t="shared" ca="1" si="1"/>
        <v/>
      </c>
      <c r="N21" s="22" t="str">
        <f t="shared" ca="1" si="2"/>
        <v/>
      </c>
    </row>
    <row r="22" spans="2:14" x14ac:dyDescent="0.35">
      <c r="B22" s="21">
        <v>46631</v>
      </c>
      <c r="C22" s="10"/>
      <c r="D22" s="10"/>
      <c r="E22" s="10"/>
      <c r="F22" s="10"/>
      <c r="G22" s="10">
        <f t="shared" si="3"/>
        <v>0</v>
      </c>
      <c r="H22" s="10"/>
      <c r="I22" s="10"/>
      <c r="J22" s="10"/>
      <c r="K22" s="10" t="str">
        <f t="shared" ca="1" si="4"/>
        <v/>
      </c>
      <c r="L22" s="10" t="str">
        <f t="shared" ca="1" si="0"/>
        <v/>
      </c>
      <c r="M22" s="10" t="str">
        <f t="shared" ca="1" si="1"/>
        <v/>
      </c>
      <c r="N22" s="22" t="str">
        <f t="shared" ca="1" si="2"/>
        <v/>
      </c>
    </row>
    <row r="23" spans="2:14" x14ac:dyDescent="0.35">
      <c r="B23" s="21">
        <v>46661</v>
      </c>
      <c r="C23" s="10"/>
      <c r="D23" s="10"/>
      <c r="E23" s="10"/>
      <c r="F23" s="10"/>
      <c r="G23" s="10">
        <f t="shared" si="3"/>
        <v>0</v>
      </c>
      <c r="H23" s="10"/>
      <c r="I23" s="10"/>
      <c r="J23" s="10"/>
      <c r="K23" s="10" t="str">
        <f t="shared" ca="1" si="4"/>
        <v/>
      </c>
      <c r="L23" s="10" t="str">
        <f t="shared" ca="1" si="0"/>
        <v/>
      </c>
      <c r="M23" s="10" t="str">
        <f t="shared" ca="1" si="1"/>
        <v/>
      </c>
      <c r="N23" s="22" t="str">
        <f t="shared" ca="1" si="2"/>
        <v/>
      </c>
    </row>
    <row r="24" spans="2:14" x14ac:dyDescent="0.35">
      <c r="B24" s="21">
        <v>46692</v>
      </c>
      <c r="C24" s="10"/>
      <c r="D24" s="10"/>
      <c r="E24" s="10"/>
      <c r="F24" s="10"/>
      <c r="G24" s="10">
        <f t="shared" si="3"/>
        <v>0</v>
      </c>
      <c r="H24" s="10"/>
      <c r="I24" s="10"/>
      <c r="J24" s="10"/>
      <c r="K24" s="10" t="str">
        <f t="shared" ca="1" si="4"/>
        <v/>
      </c>
      <c r="L24" s="10" t="str">
        <f t="shared" ca="1" si="0"/>
        <v/>
      </c>
      <c r="M24" s="10" t="str">
        <f t="shared" ca="1" si="1"/>
        <v/>
      </c>
      <c r="N24" s="22" t="str">
        <f t="shared" ca="1" si="2"/>
        <v/>
      </c>
    </row>
    <row r="25" spans="2:14" x14ac:dyDescent="0.35">
      <c r="B25" s="21">
        <v>46722</v>
      </c>
      <c r="C25" s="10"/>
      <c r="D25" s="10"/>
      <c r="E25" s="10"/>
      <c r="F25" s="10"/>
      <c r="G25" s="10">
        <f t="shared" si="3"/>
        <v>0</v>
      </c>
      <c r="H25" s="10"/>
      <c r="I25" s="10"/>
      <c r="J25" s="10"/>
      <c r="K25" s="10" t="str">
        <f t="shared" ca="1" si="4"/>
        <v/>
      </c>
      <c r="L25" s="10" t="str">
        <f t="shared" ca="1" si="0"/>
        <v/>
      </c>
      <c r="M25" s="10" t="str">
        <f t="shared" ca="1" si="1"/>
        <v/>
      </c>
      <c r="N25" s="22" t="str">
        <f t="shared" ca="1" si="2"/>
        <v/>
      </c>
    </row>
    <row r="26" spans="2:14" x14ac:dyDescent="0.35">
      <c r="B26" s="21">
        <v>46753</v>
      </c>
      <c r="C26" s="10"/>
      <c r="D26" s="10"/>
      <c r="E26" s="10"/>
      <c r="F26" s="10"/>
      <c r="G26" s="10">
        <f t="shared" si="3"/>
        <v>0</v>
      </c>
      <c r="H26" s="10"/>
      <c r="I26" s="10"/>
      <c r="J26" s="10"/>
      <c r="K26" s="10" t="str">
        <f t="shared" ca="1" si="4"/>
        <v/>
      </c>
      <c r="L26" s="10" t="str">
        <f t="shared" ca="1" si="0"/>
        <v/>
      </c>
      <c r="M26" s="10" t="str">
        <f t="shared" ca="1" si="1"/>
        <v/>
      </c>
      <c r="N26" s="22" t="str">
        <f t="shared" ca="1" si="2"/>
        <v/>
      </c>
    </row>
    <row r="27" spans="2:14" x14ac:dyDescent="0.35">
      <c r="B27" s="21">
        <v>46784</v>
      </c>
      <c r="C27" s="10"/>
      <c r="D27" s="10"/>
      <c r="E27" s="10"/>
      <c r="F27" s="10"/>
      <c r="G27" s="10">
        <f t="shared" si="3"/>
        <v>0</v>
      </c>
      <c r="H27" s="10"/>
      <c r="I27" s="10"/>
      <c r="J27" s="10"/>
      <c r="K27" s="10" t="str">
        <f t="shared" ca="1" si="4"/>
        <v/>
      </c>
      <c r="L27" s="10" t="str">
        <f t="shared" ca="1" si="0"/>
        <v/>
      </c>
      <c r="M27" s="10" t="str">
        <f t="shared" ca="1" si="1"/>
        <v/>
      </c>
      <c r="N27" s="22" t="str">
        <f t="shared" ca="1" si="2"/>
        <v/>
      </c>
    </row>
    <row r="28" spans="2:14" x14ac:dyDescent="0.35">
      <c r="B28" s="21">
        <v>46813</v>
      </c>
      <c r="C28" s="10"/>
      <c r="D28" s="10"/>
      <c r="E28" s="10"/>
      <c r="F28" s="10"/>
      <c r="G28" s="10">
        <f t="shared" si="3"/>
        <v>0</v>
      </c>
      <c r="H28" s="10"/>
      <c r="I28" s="10"/>
      <c r="J28" s="10"/>
      <c r="K28" s="10" t="str">
        <f t="shared" ca="1" si="4"/>
        <v/>
      </c>
      <c r="L28" s="10" t="str">
        <f t="shared" ca="1" si="0"/>
        <v/>
      </c>
      <c r="M28" s="10" t="str">
        <f t="shared" ca="1" si="1"/>
        <v/>
      </c>
      <c r="N28" s="22" t="str">
        <f t="shared" ca="1" si="2"/>
        <v/>
      </c>
    </row>
    <row r="29" spans="2:14" x14ac:dyDescent="0.35">
      <c r="B29" s="21">
        <v>46844</v>
      </c>
      <c r="C29" s="10"/>
      <c r="D29" s="10"/>
      <c r="E29" s="10"/>
      <c r="F29" s="10"/>
      <c r="G29" s="10">
        <f t="shared" si="3"/>
        <v>0</v>
      </c>
      <c r="H29" s="10"/>
      <c r="I29" s="10"/>
      <c r="J29" s="10"/>
      <c r="K29" s="10" t="str">
        <f t="shared" ca="1" si="4"/>
        <v/>
      </c>
      <c r="L29" s="10" t="str">
        <f t="shared" ca="1" si="0"/>
        <v/>
      </c>
      <c r="M29" s="10" t="str">
        <f t="shared" ca="1" si="1"/>
        <v/>
      </c>
      <c r="N29" s="22" t="str">
        <f t="shared" ca="1" si="2"/>
        <v/>
      </c>
    </row>
    <row r="30" spans="2:14" x14ac:dyDescent="0.35">
      <c r="B30" s="21">
        <v>46874</v>
      </c>
      <c r="C30" s="10"/>
      <c r="D30" s="10"/>
      <c r="E30" s="10"/>
      <c r="F30" s="10"/>
      <c r="G30" s="10">
        <f t="shared" si="3"/>
        <v>0</v>
      </c>
      <c r="H30" s="10"/>
      <c r="I30" s="10"/>
      <c r="J30" s="10"/>
      <c r="K30" s="10" t="str">
        <f t="shared" ca="1" si="4"/>
        <v/>
      </c>
      <c r="L30" s="10" t="str">
        <f t="shared" ca="1" si="0"/>
        <v/>
      </c>
      <c r="M30" s="10" t="str">
        <f t="shared" ca="1" si="1"/>
        <v/>
      </c>
      <c r="N30" s="22" t="str">
        <f t="shared" ca="1" si="2"/>
        <v/>
      </c>
    </row>
    <row r="31" spans="2:14" x14ac:dyDescent="0.35">
      <c r="B31" s="21">
        <v>46905</v>
      </c>
      <c r="C31" s="10"/>
      <c r="D31" s="10"/>
      <c r="E31" s="10"/>
      <c r="F31" s="10"/>
      <c r="G31" s="10">
        <f t="shared" si="3"/>
        <v>0</v>
      </c>
      <c r="H31" s="10"/>
      <c r="I31" s="10"/>
      <c r="J31" s="10"/>
      <c r="K31" s="10" t="str">
        <f t="shared" ca="1" si="4"/>
        <v/>
      </c>
      <c r="L31" s="10" t="str">
        <f t="shared" ca="1" si="0"/>
        <v/>
      </c>
      <c r="M31" s="10" t="str">
        <f t="shared" ca="1" si="1"/>
        <v/>
      </c>
      <c r="N31" s="22" t="str">
        <f t="shared" ca="1" si="2"/>
        <v/>
      </c>
    </row>
    <row r="32" spans="2:14" x14ac:dyDescent="0.35">
      <c r="B32" s="21">
        <v>46935</v>
      </c>
      <c r="C32" s="10"/>
      <c r="D32" s="10"/>
      <c r="E32" s="10"/>
      <c r="F32" s="10"/>
      <c r="G32" s="10">
        <f t="shared" si="3"/>
        <v>0</v>
      </c>
      <c r="H32" s="10"/>
      <c r="I32" s="10"/>
      <c r="J32" s="10"/>
      <c r="K32" s="10" t="str">
        <f t="shared" ca="1" si="4"/>
        <v/>
      </c>
      <c r="L32" s="10" t="str">
        <f t="shared" ca="1" si="0"/>
        <v/>
      </c>
      <c r="M32" s="10" t="str">
        <f t="shared" ca="1" si="1"/>
        <v/>
      </c>
      <c r="N32" s="22" t="str">
        <f t="shared" ca="1" si="2"/>
        <v/>
      </c>
    </row>
    <row r="33" spans="2:14" x14ac:dyDescent="0.35">
      <c r="B33" s="21">
        <v>46966</v>
      </c>
      <c r="C33" s="10"/>
      <c r="D33" s="10"/>
      <c r="E33" s="10"/>
      <c r="F33" s="10"/>
      <c r="G33" s="10">
        <f t="shared" si="3"/>
        <v>0</v>
      </c>
      <c r="H33" s="10"/>
      <c r="I33" s="10"/>
      <c r="J33" s="10"/>
      <c r="K33" s="10" t="str">
        <f t="shared" ca="1" si="4"/>
        <v/>
      </c>
      <c r="L33" s="10" t="str">
        <f t="shared" ca="1" si="0"/>
        <v/>
      </c>
      <c r="M33" s="10" t="str">
        <f t="shared" ca="1" si="1"/>
        <v/>
      </c>
      <c r="N33" s="22" t="str">
        <f t="shared" ca="1" si="2"/>
        <v/>
      </c>
    </row>
    <row r="34" spans="2:14" x14ac:dyDescent="0.35">
      <c r="B34" s="21">
        <v>46997</v>
      </c>
      <c r="C34" s="10"/>
      <c r="D34" s="10"/>
      <c r="E34" s="10"/>
      <c r="F34" s="10"/>
      <c r="G34" s="10">
        <f t="shared" si="3"/>
        <v>0</v>
      </c>
      <c r="H34" s="10"/>
      <c r="I34" s="10"/>
      <c r="J34" s="10"/>
      <c r="K34" s="10" t="str">
        <f t="shared" ca="1" si="4"/>
        <v/>
      </c>
      <c r="L34" s="10" t="str">
        <f t="shared" ca="1" si="0"/>
        <v/>
      </c>
      <c r="M34" s="10" t="str">
        <f t="shared" ca="1" si="1"/>
        <v/>
      </c>
      <c r="N34" s="22" t="str">
        <f t="shared" ca="1" si="2"/>
        <v/>
      </c>
    </row>
    <row r="35" spans="2:14" x14ac:dyDescent="0.35">
      <c r="B35" s="21">
        <v>47027</v>
      </c>
      <c r="C35" s="10"/>
      <c r="D35" s="10"/>
      <c r="E35" s="10"/>
      <c r="F35" s="10"/>
      <c r="G35" s="10">
        <f t="shared" si="3"/>
        <v>0</v>
      </c>
      <c r="H35" s="10"/>
      <c r="I35" s="10"/>
      <c r="J35" s="10"/>
      <c r="K35" s="10" t="str">
        <f t="shared" ca="1" si="4"/>
        <v/>
      </c>
      <c r="L35" s="10" t="str">
        <f t="shared" ca="1" si="0"/>
        <v/>
      </c>
      <c r="M35" s="10" t="str">
        <f t="shared" ca="1" si="1"/>
        <v/>
      </c>
      <c r="N35" s="22" t="str">
        <f t="shared" ca="1" si="2"/>
        <v/>
      </c>
    </row>
    <row r="36" spans="2:14" x14ac:dyDescent="0.35">
      <c r="B36" s="21">
        <v>47058</v>
      </c>
      <c r="C36" s="10"/>
      <c r="D36" s="10"/>
      <c r="E36" s="10"/>
      <c r="F36" s="10"/>
      <c r="G36" s="10">
        <f t="shared" si="3"/>
        <v>0</v>
      </c>
      <c r="H36" s="10"/>
      <c r="I36" s="10"/>
      <c r="J36" s="10"/>
      <c r="K36" s="10" t="str">
        <f t="shared" ca="1" si="4"/>
        <v/>
      </c>
      <c r="L36" s="10" t="str">
        <f t="shared" ca="1" si="0"/>
        <v/>
      </c>
      <c r="M36" s="10" t="str">
        <f t="shared" ca="1" si="1"/>
        <v/>
      </c>
      <c r="N36" s="22" t="str">
        <f t="shared" ca="1" si="2"/>
        <v/>
      </c>
    </row>
    <row r="37" spans="2:14" x14ac:dyDescent="0.35">
      <c r="B37" s="21">
        <v>47088</v>
      </c>
      <c r="C37" s="10"/>
      <c r="D37" s="10"/>
      <c r="E37" s="10"/>
      <c r="F37" s="10"/>
      <c r="G37" s="10">
        <f t="shared" si="3"/>
        <v>0</v>
      </c>
      <c r="H37" s="10"/>
      <c r="I37" s="10"/>
      <c r="J37" s="10"/>
      <c r="K37" s="10" t="str">
        <f t="shared" ca="1" si="4"/>
        <v/>
      </c>
      <c r="L37" s="10" t="str">
        <f t="shared" ca="1" si="0"/>
        <v/>
      </c>
      <c r="M37" s="10" t="str">
        <f t="shared" ca="1" si="1"/>
        <v/>
      </c>
      <c r="N37" s="22" t="str">
        <f t="shared" ca="1" si="2"/>
        <v/>
      </c>
    </row>
    <row r="39" spans="2:14" x14ac:dyDescent="0.35">
      <c r="B39" s="15" t="s">
        <v>88</v>
      </c>
    </row>
    <row r="40" spans="2:14" x14ac:dyDescent="0.35">
      <c r="B40" s="15" t="s">
        <v>89</v>
      </c>
    </row>
  </sheetData>
  <mergeCells count="5">
    <mergeCell ref="H4:K4"/>
    <mergeCell ref="C4:G4"/>
    <mergeCell ref="B4:B5"/>
    <mergeCell ref="L4:N4"/>
    <mergeCell ref="B2:N2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41"/>
  <sheetViews>
    <sheetView showGridLines="0" workbookViewId="0">
      <selection activeCell="B2" sqref="B2:N2"/>
    </sheetView>
  </sheetViews>
  <sheetFormatPr defaultRowHeight="18" x14ac:dyDescent="0.35"/>
  <cols>
    <col min="1" max="1" width="2" style="7" customWidth="1"/>
    <col min="2" max="2" width="9" style="7" customWidth="1"/>
    <col min="3" max="12" width="11" style="7" customWidth="1"/>
    <col min="13" max="13" width="13" style="7" customWidth="1"/>
    <col min="14" max="14" width="16" style="7" customWidth="1"/>
    <col min="15" max="15" width="9" style="7" customWidth="1"/>
    <col min="16" max="16384" width="9" style="7"/>
  </cols>
  <sheetData>
    <row r="2" spans="2:14" ht="36" customHeight="1" x14ac:dyDescent="0.35">
      <c r="B2" s="39" t="s">
        <v>90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4" ht="15.95" customHeight="1" x14ac:dyDescent="0.35">
      <c r="B3" s="15" t="s">
        <v>91</v>
      </c>
    </row>
    <row r="4" spans="2:14" x14ac:dyDescent="0.35">
      <c r="B4" s="8" t="s">
        <v>81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96</v>
      </c>
      <c r="H4" s="8" t="s">
        <v>97</v>
      </c>
      <c r="I4" s="8" t="s">
        <v>98</v>
      </c>
      <c r="J4" s="8" t="s">
        <v>99</v>
      </c>
      <c r="K4" s="8" t="s">
        <v>100</v>
      </c>
      <c r="L4" s="8" t="s">
        <v>53</v>
      </c>
      <c r="M4" s="8" t="s">
        <v>101</v>
      </c>
      <c r="N4" s="8" t="s">
        <v>102</v>
      </c>
    </row>
    <row r="5" spans="2:14" x14ac:dyDescent="0.35">
      <c r="B5" s="21">
        <v>46143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>
        <f t="shared" ref="M5:M36" si="0">SUM(C5:L5)</f>
        <v>0</v>
      </c>
      <c r="N5" s="12"/>
    </row>
    <row r="6" spans="2:14" x14ac:dyDescent="0.35">
      <c r="B6" s="21">
        <v>46174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>
        <f t="shared" si="0"/>
        <v>0</v>
      </c>
      <c r="N6" s="12"/>
    </row>
    <row r="7" spans="2:14" x14ac:dyDescent="0.35">
      <c r="B7" s="21">
        <v>46204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>
        <f t="shared" si="0"/>
        <v>0</v>
      </c>
      <c r="N7" s="12"/>
    </row>
    <row r="8" spans="2:14" x14ac:dyDescent="0.35">
      <c r="B8" s="21">
        <v>46235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f t="shared" si="0"/>
        <v>0</v>
      </c>
      <c r="N8" s="12"/>
    </row>
    <row r="9" spans="2:14" x14ac:dyDescent="0.35">
      <c r="B9" s="21">
        <v>46266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>
        <f t="shared" si="0"/>
        <v>0</v>
      </c>
      <c r="N9" s="12"/>
    </row>
    <row r="10" spans="2:14" x14ac:dyDescent="0.35">
      <c r="B10" s="21">
        <v>46296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f t="shared" si="0"/>
        <v>0</v>
      </c>
      <c r="N10" s="12"/>
    </row>
    <row r="11" spans="2:14" x14ac:dyDescent="0.35">
      <c r="B11" s="21">
        <v>46327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>
        <f t="shared" si="0"/>
        <v>0</v>
      </c>
      <c r="N11" s="12"/>
    </row>
    <row r="12" spans="2:14" x14ac:dyDescent="0.35">
      <c r="B12" s="21">
        <v>46357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>
        <f t="shared" si="0"/>
        <v>0</v>
      </c>
      <c r="N12" s="12"/>
    </row>
    <row r="13" spans="2:14" x14ac:dyDescent="0.35">
      <c r="B13" s="21">
        <v>46388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f t="shared" si="0"/>
        <v>0</v>
      </c>
      <c r="N13" s="12"/>
    </row>
    <row r="14" spans="2:14" x14ac:dyDescent="0.35">
      <c r="B14" s="21">
        <v>46419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f t="shared" si="0"/>
        <v>0</v>
      </c>
      <c r="N14" s="12"/>
    </row>
    <row r="15" spans="2:14" x14ac:dyDescent="0.35">
      <c r="B15" s="21">
        <v>46447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f t="shared" si="0"/>
        <v>0</v>
      </c>
      <c r="N15" s="12"/>
    </row>
    <row r="16" spans="2:14" x14ac:dyDescent="0.35">
      <c r="B16" s="21">
        <v>46478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f t="shared" si="0"/>
        <v>0</v>
      </c>
      <c r="N16" s="12"/>
    </row>
    <row r="17" spans="2:14" x14ac:dyDescent="0.35">
      <c r="B17" s="21">
        <v>46508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>
        <f t="shared" si="0"/>
        <v>0</v>
      </c>
      <c r="N17" s="12"/>
    </row>
    <row r="18" spans="2:14" x14ac:dyDescent="0.35">
      <c r="B18" s="21">
        <v>46539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>
        <f t="shared" si="0"/>
        <v>0</v>
      </c>
      <c r="N18" s="12"/>
    </row>
    <row r="19" spans="2:14" x14ac:dyDescent="0.35">
      <c r="B19" s="21">
        <v>46569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f t="shared" si="0"/>
        <v>0</v>
      </c>
      <c r="N19" s="12"/>
    </row>
    <row r="20" spans="2:14" x14ac:dyDescent="0.35">
      <c r="B20" s="21">
        <v>46600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f t="shared" si="0"/>
        <v>0</v>
      </c>
      <c r="N20" s="12"/>
    </row>
    <row r="21" spans="2:14" x14ac:dyDescent="0.35">
      <c r="B21" s="21">
        <v>46631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>
        <f t="shared" si="0"/>
        <v>0</v>
      </c>
      <c r="N21" s="12"/>
    </row>
    <row r="22" spans="2:14" x14ac:dyDescent="0.35">
      <c r="B22" s="21">
        <v>46661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f t="shared" si="0"/>
        <v>0</v>
      </c>
      <c r="N22" s="12"/>
    </row>
    <row r="23" spans="2:14" x14ac:dyDescent="0.35">
      <c r="B23" s="21">
        <v>46692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f t="shared" si="0"/>
        <v>0</v>
      </c>
      <c r="N23" s="12"/>
    </row>
    <row r="24" spans="2:14" x14ac:dyDescent="0.35">
      <c r="B24" s="21">
        <v>46722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f t="shared" si="0"/>
        <v>0</v>
      </c>
      <c r="N24" s="12"/>
    </row>
    <row r="25" spans="2:14" x14ac:dyDescent="0.35">
      <c r="B25" s="21">
        <v>46753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>
        <f t="shared" si="0"/>
        <v>0</v>
      </c>
      <c r="N25" s="12"/>
    </row>
    <row r="26" spans="2:14" x14ac:dyDescent="0.35">
      <c r="B26" s="21">
        <v>46784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>
        <f t="shared" si="0"/>
        <v>0</v>
      </c>
      <c r="N26" s="12"/>
    </row>
    <row r="27" spans="2:14" x14ac:dyDescent="0.35">
      <c r="B27" s="21">
        <v>46813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>
        <f t="shared" si="0"/>
        <v>0</v>
      </c>
      <c r="N27" s="12"/>
    </row>
    <row r="28" spans="2:14" x14ac:dyDescent="0.35">
      <c r="B28" s="21">
        <v>46844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>
        <f t="shared" si="0"/>
        <v>0</v>
      </c>
      <c r="N28" s="12"/>
    </row>
    <row r="29" spans="2:14" x14ac:dyDescent="0.35">
      <c r="B29" s="21">
        <v>46874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f t="shared" si="0"/>
        <v>0</v>
      </c>
      <c r="N29" s="12"/>
    </row>
    <row r="30" spans="2:14" x14ac:dyDescent="0.35">
      <c r="B30" s="21">
        <v>46905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f t="shared" si="0"/>
        <v>0</v>
      </c>
      <c r="N30" s="12"/>
    </row>
    <row r="31" spans="2:14" x14ac:dyDescent="0.35">
      <c r="B31" s="21">
        <v>46935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f t="shared" si="0"/>
        <v>0</v>
      </c>
      <c r="N31" s="12"/>
    </row>
    <row r="32" spans="2:14" x14ac:dyDescent="0.35">
      <c r="B32" s="21">
        <v>46966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f t="shared" si="0"/>
        <v>0</v>
      </c>
      <c r="N32" s="12"/>
    </row>
    <row r="33" spans="2:14" x14ac:dyDescent="0.35">
      <c r="B33" s="21">
        <v>46997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>
        <f t="shared" si="0"/>
        <v>0</v>
      </c>
      <c r="N33" s="12"/>
    </row>
    <row r="34" spans="2:14" x14ac:dyDescent="0.35">
      <c r="B34" s="21">
        <v>47027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f t="shared" si="0"/>
        <v>0</v>
      </c>
      <c r="N34" s="12"/>
    </row>
    <row r="35" spans="2:14" x14ac:dyDescent="0.35">
      <c r="B35" s="21">
        <v>47058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>
        <f t="shared" si="0"/>
        <v>0</v>
      </c>
      <c r="N35" s="12"/>
    </row>
    <row r="36" spans="2:14" x14ac:dyDescent="0.35">
      <c r="B36" s="21">
        <v>47088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>
        <f t="shared" si="0"/>
        <v>0</v>
      </c>
      <c r="N36" s="12"/>
    </row>
    <row r="38" spans="2:14" ht="21.95" customHeight="1" x14ac:dyDescent="0.35">
      <c r="B38" s="38" t="s">
        <v>103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</row>
    <row r="39" spans="2:14" ht="20.100000000000001" customHeight="1" x14ac:dyDescent="0.35">
      <c r="B39" s="9" t="s">
        <v>104</v>
      </c>
      <c r="C39" s="13">
        <f t="shared" ref="C39:M39" si="1">SUM(C5:C36)</f>
        <v>0</v>
      </c>
      <c r="D39" s="13">
        <f t="shared" si="1"/>
        <v>0</v>
      </c>
      <c r="E39" s="13">
        <f t="shared" si="1"/>
        <v>0</v>
      </c>
      <c r="F39" s="13">
        <f t="shared" si="1"/>
        <v>0</v>
      </c>
      <c r="G39" s="13">
        <f t="shared" si="1"/>
        <v>0</v>
      </c>
      <c r="H39" s="13">
        <f t="shared" si="1"/>
        <v>0</v>
      </c>
      <c r="I39" s="13">
        <f t="shared" si="1"/>
        <v>0</v>
      </c>
      <c r="J39" s="13">
        <f t="shared" si="1"/>
        <v>0</v>
      </c>
      <c r="K39" s="13">
        <f t="shared" si="1"/>
        <v>0</v>
      </c>
      <c r="L39" s="13">
        <f t="shared" si="1"/>
        <v>0</v>
      </c>
      <c r="M39" s="13">
        <f t="shared" si="1"/>
        <v>0</v>
      </c>
    </row>
    <row r="41" spans="2:14" x14ac:dyDescent="0.35">
      <c r="B41" s="15" t="s">
        <v>105</v>
      </c>
    </row>
  </sheetData>
  <mergeCells count="2">
    <mergeCell ref="B38:N38"/>
    <mergeCell ref="B2:N2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41"/>
  <sheetViews>
    <sheetView showGridLines="0" workbookViewId="0">
      <selection activeCell="F45" sqref="F45"/>
    </sheetView>
  </sheetViews>
  <sheetFormatPr defaultRowHeight="18" x14ac:dyDescent="0.35"/>
  <cols>
    <col min="1" max="1" width="2" style="7" customWidth="1"/>
    <col min="2" max="2" width="9" style="7" customWidth="1"/>
    <col min="3" max="12" width="11" style="7" customWidth="1"/>
    <col min="13" max="13" width="13" style="7" customWidth="1"/>
    <col min="14" max="14" width="16" style="7" customWidth="1"/>
    <col min="15" max="15" width="9" style="7" customWidth="1"/>
    <col min="16" max="16384" width="9" style="7"/>
  </cols>
  <sheetData>
    <row r="2" spans="2:14" ht="36" customHeight="1" x14ac:dyDescent="0.35">
      <c r="B2" s="39" t="s">
        <v>106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4" ht="15.95" customHeight="1" x14ac:dyDescent="0.35">
      <c r="B3" s="15" t="s">
        <v>91</v>
      </c>
    </row>
    <row r="4" spans="2:14" x14ac:dyDescent="0.35">
      <c r="B4" s="8" t="s">
        <v>81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96</v>
      </c>
      <c r="H4" s="8" t="s">
        <v>97</v>
      </c>
      <c r="I4" s="8" t="s">
        <v>98</v>
      </c>
      <c r="J4" s="8" t="s">
        <v>99</v>
      </c>
      <c r="K4" s="8" t="s">
        <v>100</v>
      </c>
      <c r="L4" s="8" t="s">
        <v>53</v>
      </c>
      <c r="M4" s="8" t="s">
        <v>101</v>
      </c>
      <c r="N4" s="8" t="s">
        <v>102</v>
      </c>
    </row>
    <row r="5" spans="2:14" x14ac:dyDescent="0.35">
      <c r="B5" s="21">
        <v>46143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>
        <f t="shared" ref="M5:M36" si="0">SUM(C5:L5)</f>
        <v>0</v>
      </c>
      <c r="N5" s="12"/>
    </row>
    <row r="6" spans="2:14" x14ac:dyDescent="0.35">
      <c r="B6" s="21">
        <v>46174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>
        <f t="shared" si="0"/>
        <v>0</v>
      </c>
      <c r="N6" s="12"/>
    </row>
    <row r="7" spans="2:14" x14ac:dyDescent="0.35">
      <c r="B7" s="21">
        <v>46204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>
        <f t="shared" si="0"/>
        <v>0</v>
      </c>
      <c r="N7" s="12"/>
    </row>
    <row r="8" spans="2:14" x14ac:dyDescent="0.35">
      <c r="B8" s="21">
        <v>46235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f t="shared" si="0"/>
        <v>0</v>
      </c>
      <c r="N8" s="12"/>
    </row>
    <row r="9" spans="2:14" x14ac:dyDescent="0.35">
      <c r="B9" s="21">
        <v>46266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>
        <f t="shared" si="0"/>
        <v>0</v>
      </c>
      <c r="N9" s="12"/>
    </row>
    <row r="10" spans="2:14" x14ac:dyDescent="0.35">
      <c r="B10" s="21">
        <v>46296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f t="shared" si="0"/>
        <v>0</v>
      </c>
      <c r="N10" s="12"/>
    </row>
    <row r="11" spans="2:14" x14ac:dyDescent="0.35">
      <c r="B11" s="21">
        <v>46327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>
        <f t="shared" si="0"/>
        <v>0</v>
      </c>
      <c r="N11" s="12"/>
    </row>
    <row r="12" spans="2:14" x14ac:dyDescent="0.35">
      <c r="B12" s="21">
        <v>46357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>
        <f t="shared" si="0"/>
        <v>0</v>
      </c>
      <c r="N12" s="12"/>
    </row>
    <row r="13" spans="2:14" x14ac:dyDescent="0.35">
      <c r="B13" s="21">
        <v>46388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f t="shared" si="0"/>
        <v>0</v>
      </c>
      <c r="N13" s="12"/>
    </row>
    <row r="14" spans="2:14" x14ac:dyDescent="0.35">
      <c r="B14" s="21">
        <v>46419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f t="shared" si="0"/>
        <v>0</v>
      </c>
      <c r="N14" s="12"/>
    </row>
    <row r="15" spans="2:14" x14ac:dyDescent="0.35">
      <c r="B15" s="21">
        <v>46447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f t="shared" si="0"/>
        <v>0</v>
      </c>
      <c r="N15" s="12"/>
    </row>
    <row r="16" spans="2:14" x14ac:dyDescent="0.35">
      <c r="B16" s="21">
        <v>46478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>
        <f t="shared" si="0"/>
        <v>0</v>
      </c>
      <c r="N16" s="12"/>
    </row>
    <row r="17" spans="2:14" x14ac:dyDescent="0.35">
      <c r="B17" s="21">
        <v>46508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>
        <f t="shared" si="0"/>
        <v>0</v>
      </c>
      <c r="N17" s="12"/>
    </row>
    <row r="18" spans="2:14" x14ac:dyDescent="0.35">
      <c r="B18" s="21">
        <v>46539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>
        <f t="shared" si="0"/>
        <v>0</v>
      </c>
      <c r="N18" s="12"/>
    </row>
    <row r="19" spans="2:14" x14ac:dyDescent="0.35">
      <c r="B19" s="21">
        <v>46569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f t="shared" si="0"/>
        <v>0</v>
      </c>
      <c r="N19" s="12"/>
    </row>
    <row r="20" spans="2:14" x14ac:dyDescent="0.35">
      <c r="B20" s="21">
        <v>46600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f t="shared" si="0"/>
        <v>0</v>
      </c>
      <c r="N20" s="12"/>
    </row>
    <row r="21" spans="2:14" x14ac:dyDescent="0.35">
      <c r="B21" s="21">
        <v>46631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>
        <f t="shared" si="0"/>
        <v>0</v>
      </c>
      <c r="N21" s="12"/>
    </row>
    <row r="22" spans="2:14" x14ac:dyDescent="0.35">
      <c r="B22" s="21">
        <v>46661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>
        <f t="shared" si="0"/>
        <v>0</v>
      </c>
      <c r="N22" s="12"/>
    </row>
    <row r="23" spans="2:14" x14ac:dyDescent="0.35">
      <c r="B23" s="21">
        <v>46692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f t="shared" si="0"/>
        <v>0</v>
      </c>
      <c r="N23" s="12"/>
    </row>
    <row r="24" spans="2:14" x14ac:dyDescent="0.35">
      <c r="B24" s="21">
        <v>46722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f t="shared" si="0"/>
        <v>0</v>
      </c>
      <c r="N24" s="12"/>
    </row>
    <row r="25" spans="2:14" x14ac:dyDescent="0.35">
      <c r="B25" s="21">
        <v>46753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>
        <f t="shared" si="0"/>
        <v>0</v>
      </c>
      <c r="N25" s="12"/>
    </row>
    <row r="26" spans="2:14" x14ac:dyDescent="0.35">
      <c r="B26" s="21">
        <v>46784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>
        <f t="shared" si="0"/>
        <v>0</v>
      </c>
      <c r="N26" s="12"/>
    </row>
    <row r="27" spans="2:14" x14ac:dyDescent="0.35">
      <c r="B27" s="21">
        <v>46813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>
        <f t="shared" si="0"/>
        <v>0</v>
      </c>
      <c r="N27" s="12"/>
    </row>
    <row r="28" spans="2:14" x14ac:dyDescent="0.35">
      <c r="B28" s="21">
        <v>46844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>
        <f t="shared" si="0"/>
        <v>0</v>
      </c>
      <c r="N28" s="12"/>
    </row>
    <row r="29" spans="2:14" x14ac:dyDescent="0.35">
      <c r="B29" s="21">
        <v>46874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>
        <f t="shared" si="0"/>
        <v>0</v>
      </c>
      <c r="N29" s="12"/>
    </row>
    <row r="30" spans="2:14" x14ac:dyDescent="0.35">
      <c r="B30" s="21">
        <v>46905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f t="shared" si="0"/>
        <v>0</v>
      </c>
      <c r="N30" s="12"/>
    </row>
    <row r="31" spans="2:14" x14ac:dyDescent="0.35">
      <c r="B31" s="21">
        <v>46935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f t="shared" si="0"/>
        <v>0</v>
      </c>
      <c r="N31" s="12"/>
    </row>
    <row r="32" spans="2:14" x14ac:dyDescent="0.35">
      <c r="B32" s="21">
        <v>46966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f t="shared" si="0"/>
        <v>0</v>
      </c>
      <c r="N32" s="12"/>
    </row>
    <row r="33" spans="2:14" x14ac:dyDescent="0.35">
      <c r="B33" s="21">
        <v>46997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>
        <f t="shared" si="0"/>
        <v>0</v>
      </c>
      <c r="N33" s="12"/>
    </row>
    <row r="34" spans="2:14" x14ac:dyDescent="0.35">
      <c r="B34" s="21">
        <v>47027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f t="shared" si="0"/>
        <v>0</v>
      </c>
      <c r="N34" s="12"/>
    </row>
    <row r="35" spans="2:14" x14ac:dyDescent="0.35">
      <c r="B35" s="21">
        <v>47058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>
        <f t="shared" si="0"/>
        <v>0</v>
      </c>
      <c r="N35" s="12"/>
    </row>
    <row r="36" spans="2:14" x14ac:dyDescent="0.35">
      <c r="B36" s="21">
        <v>47088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>
        <f t="shared" si="0"/>
        <v>0</v>
      </c>
      <c r="N36" s="12"/>
    </row>
    <row r="38" spans="2:14" ht="21.95" customHeight="1" x14ac:dyDescent="0.35">
      <c r="B38" s="38" t="s">
        <v>103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</row>
    <row r="39" spans="2:14" ht="20.100000000000001" customHeight="1" x14ac:dyDescent="0.35">
      <c r="B39" s="9" t="s">
        <v>104</v>
      </c>
      <c r="C39" s="13">
        <f t="shared" ref="C39:M39" si="1">SUM(C5:C36)</f>
        <v>0</v>
      </c>
      <c r="D39" s="13">
        <f t="shared" si="1"/>
        <v>0</v>
      </c>
      <c r="E39" s="13">
        <f t="shared" si="1"/>
        <v>0</v>
      </c>
      <c r="F39" s="13">
        <f t="shared" si="1"/>
        <v>0</v>
      </c>
      <c r="G39" s="13">
        <f t="shared" si="1"/>
        <v>0</v>
      </c>
      <c r="H39" s="13">
        <f t="shared" si="1"/>
        <v>0</v>
      </c>
      <c r="I39" s="13">
        <f t="shared" si="1"/>
        <v>0</v>
      </c>
      <c r="J39" s="13">
        <f t="shared" si="1"/>
        <v>0</v>
      </c>
      <c r="K39" s="13">
        <f t="shared" si="1"/>
        <v>0</v>
      </c>
      <c r="L39" s="13">
        <f t="shared" si="1"/>
        <v>0</v>
      </c>
      <c r="M39" s="13">
        <f t="shared" si="1"/>
        <v>0</v>
      </c>
    </row>
    <row r="41" spans="2:14" x14ac:dyDescent="0.35">
      <c r="B41" s="15" t="s">
        <v>105</v>
      </c>
    </row>
  </sheetData>
  <mergeCells count="2">
    <mergeCell ref="B38:N38"/>
    <mergeCell ref="B2:N2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59"/>
  <sheetViews>
    <sheetView showGridLines="0" workbookViewId="0">
      <selection activeCell="G50" sqref="G50"/>
    </sheetView>
  </sheetViews>
  <sheetFormatPr defaultRowHeight="16.5" x14ac:dyDescent="0.35"/>
  <cols>
    <col min="1" max="1" width="2" style="17" customWidth="1"/>
    <col min="2" max="2" width="9" style="17" customWidth="1"/>
    <col min="3" max="9" width="14" style="17" customWidth="1"/>
    <col min="10" max="10" width="12" style="17" customWidth="1"/>
    <col min="11" max="11" width="20" style="17" customWidth="1"/>
    <col min="12" max="12" width="9" style="17" customWidth="1"/>
    <col min="13" max="16384" width="9" style="17"/>
  </cols>
  <sheetData>
    <row r="2" spans="2:11" ht="36" customHeight="1" x14ac:dyDescent="0.35">
      <c r="B2" s="39" t="s">
        <v>107</v>
      </c>
      <c r="C2" s="37"/>
      <c r="D2" s="37"/>
      <c r="E2" s="37"/>
      <c r="F2" s="37"/>
      <c r="G2" s="37"/>
      <c r="H2" s="37"/>
      <c r="I2" s="37"/>
      <c r="J2" s="37"/>
      <c r="K2" s="37"/>
    </row>
    <row r="3" spans="2:11" ht="15.95" customHeight="1" x14ac:dyDescent="0.35">
      <c r="B3" s="18" t="s">
        <v>108</v>
      </c>
    </row>
    <row r="4" spans="2:11" ht="21.95" customHeight="1" x14ac:dyDescent="0.35">
      <c r="B4" s="38" t="s">
        <v>109</v>
      </c>
      <c r="C4" s="37"/>
      <c r="D4" s="37"/>
      <c r="E4" s="37"/>
      <c r="F4" s="37"/>
      <c r="G4" s="37"/>
      <c r="H4" s="37"/>
      <c r="I4" s="37"/>
      <c r="J4" s="37"/>
      <c r="K4" s="37"/>
    </row>
    <row r="5" spans="2:11" ht="17.25" x14ac:dyDescent="0.35">
      <c r="B5" s="9" t="s">
        <v>110</v>
      </c>
      <c r="C5" s="51">
        <v>450986632</v>
      </c>
      <c r="D5" s="34"/>
      <c r="E5" s="35" t="s">
        <v>111</v>
      </c>
      <c r="F5" s="33"/>
      <c r="G5" s="33"/>
      <c r="H5" s="33"/>
      <c r="I5" s="33"/>
      <c r="J5" s="34"/>
    </row>
    <row r="7" spans="2:11" ht="21.95" customHeight="1" x14ac:dyDescent="0.35">
      <c r="B7" s="38" t="s">
        <v>112</v>
      </c>
      <c r="C7" s="37"/>
      <c r="D7" s="37"/>
      <c r="E7" s="37"/>
      <c r="F7" s="37"/>
      <c r="G7" s="37"/>
      <c r="H7" s="37"/>
      <c r="I7" s="37"/>
      <c r="J7" s="37"/>
      <c r="K7" s="37"/>
    </row>
    <row r="8" spans="2:11" ht="17.25" x14ac:dyDescent="0.35">
      <c r="B8" s="8" t="s">
        <v>113</v>
      </c>
      <c r="C8" s="40" t="s">
        <v>114</v>
      </c>
      <c r="D8" s="33"/>
      <c r="E8" s="34"/>
      <c r="F8" s="8" t="s">
        <v>17</v>
      </c>
      <c r="G8" s="40" t="s">
        <v>18</v>
      </c>
      <c r="H8" s="34"/>
    </row>
    <row r="9" spans="2:11" ht="17.25" x14ac:dyDescent="0.35">
      <c r="B9" s="27">
        <v>46631</v>
      </c>
      <c r="C9" s="35" t="s">
        <v>115</v>
      </c>
      <c r="D9" s="33"/>
      <c r="E9" s="34"/>
      <c r="F9" s="26">
        <v>-220000000</v>
      </c>
      <c r="G9" s="35"/>
      <c r="H9" s="34"/>
    </row>
    <row r="10" spans="2:11" ht="17.25" x14ac:dyDescent="0.35">
      <c r="B10" s="27">
        <v>46631</v>
      </c>
      <c r="C10" s="35" t="s">
        <v>21</v>
      </c>
      <c r="D10" s="33"/>
      <c r="E10" s="34"/>
      <c r="F10" s="26">
        <v>-50000000</v>
      </c>
      <c r="G10" s="35"/>
      <c r="H10" s="34"/>
    </row>
    <row r="11" spans="2:11" ht="17.25" x14ac:dyDescent="0.35">
      <c r="B11" s="27">
        <v>46569</v>
      </c>
      <c r="C11" s="35" t="s">
        <v>116</v>
      </c>
      <c r="D11" s="33"/>
      <c r="E11" s="34"/>
      <c r="F11" s="26">
        <v>-50000000</v>
      </c>
      <c r="G11" s="35"/>
      <c r="H11" s="34"/>
    </row>
    <row r="12" spans="2:11" ht="17.25" x14ac:dyDescent="0.35">
      <c r="B12" s="27">
        <v>46569</v>
      </c>
      <c r="C12" s="35" t="s">
        <v>117</v>
      </c>
      <c r="D12" s="33"/>
      <c r="E12" s="34"/>
      <c r="F12" s="26">
        <v>-10000000</v>
      </c>
      <c r="G12" s="35"/>
      <c r="H12" s="34"/>
    </row>
    <row r="13" spans="2:11" ht="17.25" x14ac:dyDescent="0.35">
      <c r="B13" s="27">
        <v>46600</v>
      </c>
      <c r="C13" s="35" t="s">
        <v>118</v>
      </c>
      <c r="D13" s="33"/>
      <c r="E13" s="34"/>
      <c r="F13" s="26">
        <v>-50000000</v>
      </c>
      <c r="G13" s="35"/>
      <c r="H13" s="34"/>
    </row>
    <row r="14" spans="2:11" ht="17.25" x14ac:dyDescent="0.35">
      <c r="B14" s="27">
        <v>46600</v>
      </c>
      <c r="C14" s="35" t="s">
        <v>22</v>
      </c>
      <c r="D14" s="33"/>
      <c r="E14" s="34"/>
      <c r="F14" s="26">
        <v>-300000000</v>
      </c>
      <c r="G14" s="35" t="s">
        <v>119</v>
      </c>
      <c r="H14" s="34"/>
    </row>
    <row r="15" spans="2:11" ht="17.25" x14ac:dyDescent="0.35">
      <c r="B15" s="12"/>
      <c r="C15" s="35"/>
      <c r="D15" s="33"/>
      <c r="E15" s="34"/>
      <c r="F15" s="10"/>
      <c r="G15" s="35"/>
      <c r="H15" s="34"/>
    </row>
    <row r="16" spans="2:11" ht="17.25" x14ac:dyDescent="0.35">
      <c r="B16" s="12"/>
      <c r="C16" s="35"/>
      <c r="D16" s="33"/>
      <c r="E16" s="34"/>
      <c r="F16" s="10"/>
      <c r="G16" s="35"/>
      <c r="H16" s="34"/>
    </row>
    <row r="17" spans="2:11" ht="17.25" x14ac:dyDescent="0.35">
      <c r="B17" s="12"/>
      <c r="C17" s="35"/>
      <c r="D17" s="33"/>
      <c r="E17" s="34"/>
      <c r="F17" s="10"/>
      <c r="G17" s="35"/>
      <c r="H17" s="34"/>
    </row>
    <row r="19" spans="2:11" ht="21.95" customHeight="1" x14ac:dyDescent="0.35">
      <c r="B19" s="38" t="s">
        <v>120</v>
      </c>
      <c r="C19" s="37"/>
      <c r="D19" s="37"/>
      <c r="E19" s="37"/>
      <c r="F19" s="37"/>
      <c r="G19" s="37"/>
      <c r="H19" s="37"/>
      <c r="I19" s="37"/>
      <c r="J19" s="37"/>
      <c r="K19" s="37"/>
    </row>
    <row r="20" spans="2:11" x14ac:dyDescent="0.35">
      <c r="B20" s="8" t="s">
        <v>81</v>
      </c>
      <c r="C20" s="8" t="s">
        <v>121</v>
      </c>
      <c r="D20" s="8" t="s">
        <v>122</v>
      </c>
      <c r="E20" s="8" t="s">
        <v>123</v>
      </c>
      <c r="F20" s="19" t="s">
        <v>124</v>
      </c>
      <c r="G20" s="19" t="s">
        <v>125</v>
      </c>
      <c r="H20" s="19" t="s">
        <v>126</v>
      </c>
      <c r="I20" s="8" t="s">
        <v>127</v>
      </c>
      <c r="J20" s="8" t="s">
        <v>128</v>
      </c>
      <c r="K20" s="8" t="s">
        <v>18</v>
      </c>
    </row>
    <row r="21" spans="2:11" x14ac:dyDescent="0.35">
      <c r="B21" s="21">
        <v>46143</v>
      </c>
      <c r="C21" s="10">
        <v>6000000</v>
      </c>
      <c r="D21" s="10">
        <v>3500000</v>
      </c>
      <c r="E21" s="10">
        <f t="shared" ref="E21:E35" si="0">C21+D21</f>
        <v>9500000</v>
      </c>
      <c r="F21" s="10">
        <v>2500000</v>
      </c>
      <c r="G21" s="10">
        <v>2000000</v>
      </c>
      <c r="H21" s="10">
        <f t="shared" ref="H21:H35" si="1">SUM(F21:G21)</f>
        <v>4500000</v>
      </c>
      <c r="I21" s="10">
        <f t="shared" ref="I21:I35" si="2">E21-H21</f>
        <v>5000000</v>
      </c>
      <c r="J21" s="22">
        <f t="shared" ref="J21:J35" si="3">IF(E21=0,0,I21/E21)</f>
        <v>0.52631578947368418</v>
      </c>
      <c r="K21" s="12" t="s">
        <v>129</v>
      </c>
    </row>
    <row r="22" spans="2:11" x14ac:dyDescent="0.35">
      <c r="B22" s="21">
        <v>46174</v>
      </c>
      <c r="C22" s="10">
        <v>6000000</v>
      </c>
      <c r="D22" s="10">
        <v>3500000</v>
      </c>
      <c r="E22" s="10">
        <f t="shared" si="0"/>
        <v>9500000</v>
      </c>
      <c r="F22" s="10">
        <v>2500000</v>
      </c>
      <c r="G22" s="10">
        <v>2000000</v>
      </c>
      <c r="H22" s="10">
        <f t="shared" si="1"/>
        <v>4500000</v>
      </c>
      <c r="I22" s="10">
        <f t="shared" si="2"/>
        <v>5000000</v>
      </c>
      <c r="J22" s="22">
        <f t="shared" si="3"/>
        <v>0.52631578947368418</v>
      </c>
      <c r="K22" s="12" t="s">
        <v>129</v>
      </c>
    </row>
    <row r="23" spans="2:11" x14ac:dyDescent="0.35">
      <c r="B23" s="21">
        <v>46204</v>
      </c>
      <c r="C23" s="10">
        <v>6000000</v>
      </c>
      <c r="D23" s="10">
        <v>3500000</v>
      </c>
      <c r="E23" s="10">
        <f t="shared" si="0"/>
        <v>9500000</v>
      </c>
      <c r="F23" s="10">
        <v>2000000</v>
      </c>
      <c r="G23" s="10">
        <v>2000000</v>
      </c>
      <c r="H23" s="10">
        <f t="shared" si="1"/>
        <v>4000000</v>
      </c>
      <c r="I23" s="10">
        <f t="shared" si="2"/>
        <v>5500000</v>
      </c>
      <c r="J23" s="22">
        <f t="shared" si="3"/>
        <v>0.57894736842105265</v>
      </c>
      <c r="K23" s="12" t="s">
        <v>129</v>
      </c>
    </row>
    <row r="24" spans="2:11" x14ac:dyDescent="0.35">
      <c r="B24" s="21">
        <v>46235</v>
      </c>
      <c r="C24" s="10">
        <v>6000000</v>
      </c>
      <c r="D24" s="10">
        <v>5500000</v>
      </c>
      <c r="E24" s="10">
        <f t="shared" si="0"/>
        <v>11500000</v>
      </c>
      <c r="F24" s="10">
        <v>4000000</v>
      </c>
      <c r="G24" s="10">
        <v>2000000</v>
      </c>
      <c r="H24" s="10">
        <f t="shared" si="1"/>
        <v>6000000</v>
      </c>
      <c r="I24" s="10">
        <f t="shared" si="2"/>
        <v>5500000</v>
      </c>
      <c r="J24" s="22">
        <f t="shared" si="3"/>
        <v>0.47826086956521741</v>
      </c>
      <c r="K24" s="12" t="s">
        <v>130</v>
      </c>
    </row>
    <row r="25" spans="2:11" x14ac:dyDescent="0.35">
      <c r="B25" s="21">
        <v>46266</v>
      </c>
      <c r="C25" s="10">
        <v>6000000</v>
      </c>
      <c r="D25" s="10">
        <v>3500000</v>
      </c>
      <c r="E25" s="10">
        <f t="shared" si="0"/>
        <v>9500000</v>
      </c>
      <c r="F25" s="10">
        <v>4000000</v>
      </c>
      <c r="G25" s="10">
        <v>2000000</v>
      </c>
      <c r="H25" s="10">
        <f t="shared" si="1"/>
        <v>6000000</v>
      </c>
      <c r="I25" s="10">
        <f t="shared" si="2"/>
        <v>3500000</v>
      </c>
      <c r="J25" s="22">
        <f t="shared" si="3"/>
        <v>0.36842105263157893</v>
      </c>
      <c r="K25" s="12" t="s">
        <v>130</v>
      </c>
    </row>
    <row r="26" spans="2:11" x14ac:dyDescent="0.35">
      <c r="B26" s="21">
        <v>46296</v>
      </c>
      <c r="C26" s="10">
        <v>6000000</v>
      </c>
      <c r="D26" s="10">
        <v>3500000</v>
      </c>
      <c r="E26" s="10">
        <f t="shared" si="0"/>
        <v>9500000</v>
      </c>
      <c r="F26" s="10">
        <v>4000000</v>
      </c>
      <c r="G26" s="10">
        <v>2000000</v>
      </c>
      <c r="H26" s="10">
        <f t="shared" si="1"/>
        <v>6000000</v>
      </c>
      <c r="I26" s="10">
        <f t="shared" si="2"/>
        <v>3500000</v>
      </c>
      <c r="J26" s="22">
        <f t="shared" si="3"/>
        <v>0.36842105263157893</v>
      </c>
      <c r="K26" s="12" t="s">
        <v>130</v>
      </c>
    </row>
    <row r="27" spans="2:11" x14ac:dyDescent="0.35">
      <c r="B27" s="21">
        <v>46327</v>
      </c>
      <c r="C27" s="10">
        <v>6000000</v>
      </c>
      <c r="D27" s="10">
        <v>3500000</v>
      </c>
      <c r="E27" s="10">
        <f t="shared" si="0"/>
        <v>9500000</v>
      </c>
      <c r="F27" s="10">
        <v>4000000</v>
      </c>
      <c r="G27" s="10">
        <v>2000000</v>
      </c>
      <c r="H27" s="10">
        <f t="shared" si="1"/>
        <v>6000000</v>
      </c>
      <c r="I27" s="10">
        <f t="shared" si="2"/>
        <v>3500000</v>
      </c>
      <c r="J27" s="22">
        <f t="shared" si="3"/>
        <v>0.36842105263157893</v>
      </c>
      <c r="K27" s="12" t="s">
        <v>130</v>
      </c>
    </row>
    <row r="28" spans="2:11" x14ac:dyDescent="0.35">
      <c r="B28" s="21">
        <v>46357</v>
      </c>
      <c r="C28" s="10">
        <v>6000000</v>
      </c>
      <c r="D28" s="10">
        <v>3500000</v>
      </c>
      <c r="E28" s="10">
        <f t="shared" si="0"/>
        <v>9500000</v>
      </c>
      <c r="F28" s="10">
        <v>4000000</v>
      </c>
      <c r="G28" s="10">
        <v>2000000</v>
      </c>
      <c r="H28" s="10">
        <f t="shared" si="1"/>
        <v>6000000</v>
      </c>
      <c r="I28" s="10">
        <f t="shared" si="2"/>
        <v>3500000</v>
      </c>
      <c r="J28" s="22">
        <f t="shared" si="3"/>
        <v>0.36842105263157893</v>
      </c>
      <c r="K28" s="12" t="s">
        <v>130</v>
      </c>
    </row>
    <row r="29" spans="2:11" x14ac:dyDescent="0.35">
      <c r="B29" s="21">
        <v>46388</v>
      </c>
      <c r="C29" s="10">
        <v>16000000</v>
      </c>
      <c r="D29" s="10">
        <v>3500000</v>
      </c>
      <c r="E29" s="10">
        <f t="shared" si="0"/>
        <v>19500000</v>
      </c>
      <c r="F29" s="10">
        <v>4000000</v>
      </c>
      <c r="G29" s="10">
        <v>2000000</v>
      </c>
      <c r="H29" s="10">
        <f t="shared" si="1"/>
        <v>6000000</v>
      </c>
      <c r="I29" s="10">
        <f t="shared" si="2"/>
        <v>13500000</v>
      </c>
      <c r="J29" s="22">
        <f t="shared" si="3"/>
        <v>0.69230769230769229</v>
      </c>
      <c r="K29" s="12" t="s">
        <v>130</v>
      </c>
    </row>
    <row r="30" spans="2:11" x14ac:dyDescent="0.35">
      <c r="B30" s="21">
        <v>46419</v>
      </c>
      <c r="C30" s="10">
        <v>6000000</v>
      </c>
      <c r="D30" s="10">
        <v>3500000</v>
      </c>
      <c r="E30" s="10">
        <f t="shared" si="0"/>
        <v>9500000</v>
      </c>
      <c r="F30" s="10">
        <v>4000000</v>
      </c>
      <c r="G30" s="10">
        <v>2000000</v>
      </c>
      <c r="H30" s="10">
        <f t="shared" si="1"/>
        <v>6000000</v>
      </c>
      <c r="I30" s="10">
        <f t="shared" si="2"/>
        <v>3500000</v>
      </c>
      <c r="J30" s="22">
        <f t="shared" si="3"/>
        <v>0.36842105263157893</v>
      </c>
      <c r="K30" s="12" t="s">
        <v>130</v>
      </c>
    </row>
    <row r="31" spans="2:11" x14ac:dyDescent="0.35">
      <c r="B31" s="21">
        <v>46447</v>
      </c>
      <c r="C31" s="10">
        <v>6000000</v>
      </c>
      <c r="D31" s="10">
        <v>3500000</v>
      </c>
      <c r="E31" s="10">
        <f t="shared" si="0"/>
        <v>9500000</v>
      </c>
      <c r="F31" s="10">
        <v>4000000</v>
      </c>
      <c r="G31" s="10">
        <v>2000000</v>
      </c>
      <c r="H31" s="10">
        <f t="shared" si="1"/>
        <v>6000000</v>
      </c>
      <c r="I31" s="10">
        <f t="shared" si="2"/>
        <v>3500000</v>
      </c>
      <c r="J31" s="22">
        <f t="shared" si="3"/>
        <v>0.36842105263157893</v>
      </c>
      <c r="K31" s="12" t="s">
        <v>130</v>
      </c>
    </row>
    <row r="32" spans="2:11" x14ac:dyDescent="0.35">
      <c r="B32" s="21">
        <v>46478</v>
      </c>
      <c r="C32" s="10">
        <v>6000000</v>
      </c>
      <c r="D32" s="10">
        <v>3500000</v>
      </c>
      <c r="E32" s="10">
        <f t="shared" si="0"/>
        <v>9500000</v>
      </c>
      <c r="F32" s="10">
        <v>4000000</v>
      </c>
      <c r="G32" s="10">
        <v>2000000</v>
      </c>
      <c r="H32" s="10">
        <f t="shared" si="1"/>
        <v>6000000</v>
      </c>
      <c r="I32" s="10">
        <f t="shared" si="2"/>
        <v>3500000</v>
      </c>
      <c r="J32" s="22">
        <f t="shared" si="3"/>
        <v>0.36842105263157893</v>
      </c>
      <c r="K32" s="12" t="s">
        <v>130</v>
      </c>
    </row>
    <row r="33" spans="2:11" x14ac:dyDescent="0.35">
      <c r="B33" s="21">
        <v>46508</v>
      </c>
      <c r="C33" s="10">
        <v>6000000</v>
      </c>
      <c r="D33" s="10">
        <v>3500000</v>
      </c>
      <c r="E33" s="10">
        <f t="shared" si="0"/>
        <v>9500000</v>
      </c>
      <c r="F33" s="10">
        <v>4000000</v>
      </c>
      <c r="G33" s="10">
        <v>2000000</v>
      </c>
      <c r="H33" s="10">
        <f t="shared" si="1"/>
        <v>6000000</v>
      </c>
      <c r="I33" s="10">
        <f t="shared" si="2"/>
        <v>3500000</v>
      </c>
      <c r="J33" s="22">
        <f t="shared" si="3"/>
        <v>0.36842105263157893</v>
      </c>
      <c r="K33" s="12" t="s">
        <v>130</v>
      </c>
    </row>
    <row r="34" spans="2:11" x14ac:dyDescent="0.35">
      <c r="B34" s="21">
        <v>46539</v>
      </c>
      <c r="C34" s="10">
        <v>6000000</v>
      </c>
      <c r="D34" s="10">
        <v>3500000</v>
      </c>
      <c r="E34" s="10">
        <f t="shared" si="0"/>
        <v>9500000</v>
      </c>
      <c r="F34" s="10">
        <v>4000000</v>
      </c>
      <c r="G34" s="10">
        <v>2000000</v>
      </c>
      <c r="H34" s="10">
        <f t="shared" si="1"/>
        <v>6000000</v>
      </c>
      <c r="I34" s="10">
        <f t="shared" si="2"/>
        <v>3500000</v>
      </c>
      <c r="J34" s="22">
        <f t="shared" si="3"/>
        <v>0.36842105263157893</v>
      </c>
      <c r="K34" s="12" t="s">
        <v>130</v>
      </c>
    </row>
    <row r="35" spans="2:11" x14ac:dyDescent="0.35">
      <c r="B35" s="21">
        <v>46569</v>
      </c>
      <c r="C35" s="10">
        <v>6000000</v>
      </c>
      <c r="D35" s="10">
        <v>3500000</v>
      </c>
      <c r="E35" s="10">
        <f t="shared" si="0"/>
        <v>9500000</v>
      </c>
      <c r="F35" s="10">
        <v>4000000</v>
      </c>
      <c r="G35" s="10">
        <v>2000000</v>
      </c>
      <c r="H35" s="10">
        <f t="shared" si="1"/>
        <v>6000000</v>
      </c>
      <c r="I35" s="10">
        <f t="shared" si="2"/>
        <v>3500000</v>
      </c>
      <c r="J35" s="22">
        <f t="shared" si="3"/>
        <v>0.36842105263157893</v>
      </c>
      <c r="K35" s="12" t="s">
        <v>130</v>
      </c>
    </row>
    <row r="36" spans="2:11" x14ac:dyDescent="0.35">
      <c r="B36" s="21">
        <v>46600</v>
      </c>
      <c r="C36" s="10"/>
      <c r="D36" s="10"/>
      <c r="E36" s="10"/>
      <c r="F36" s="10"/>
      <c r="G36" s="10"/>
      <c r="H36" s="10"/>
      <c r="I36" s="10"/>
      <c r="J36" s="22"/>
      <c r="K36" s="12"/>
    </row>
    <row r="37" spans="2:11" x14ac:dyDescent="0.35">
      <c r="B37" s="21">
        <v>46631</v>
      </c>
      <c r="C37" s="10"/>
      <c r="D37" s="10"/>
      <c r="E37" s="10"/>
      <c r="F37" s="10"/>
      <c r="G37" s="10"/>
      <c r="H37" s="10"/>
      <c r="I37" s="10"/>
      <c r="J37" s="22"/>
      <c r="K37" s="12"/>
    </row>
    <row r="38" spans="2:11" x14ac:dyDescent="0.35">
      <c r="B38" s="21">
        <v>46661</v>
      </c>
      <c r="C38" s="10"/>
      <c r="D38" s="10"/>
      <c r="E38" s="10"/>
      <c r="F38" s="10"/>
      <c r="G38" s="10"/>
      <c r="H38" s="10"/>
      <c r="I38" s="10"/>
      <c r="J38" s="22"/>
      <c r="K38" s="12"/>
    </row>
    <row r="39" spans="2:11" x14ac:dyDescent="0.35">
      <c r="B39" s="21">
        <v>46692</v>
      </c>
      <c r="C39" s="10"/>
      <c r="D39" s="10"/>
      <c r="E39" s="10"/>
      <c r="F39" s="10"/>
      <c r="G39" s="10"/>
      <c r="H39" s="10"/>
      <c r="I39" s="10"/>
      <c r="J39" s="22"/>
      <c r="K39" s="12"/>
    </row>
    <row r="40" spans="2:11" x14ac:dyDescent="0.35">
      <c r="B40" s="21">
        <v>46722</v>
      </c>
      <c r="C40" s="10"/>
      <c r="D40" s="10"/>
      <c r="E40" s="10"/>
      <c r="F40" s="10"/>
      <c r="G40" s="10"/>
      <c r="H40" s="10"/>
      <c r="I40" s="10"/>
      <c r="J40" s="22"/>
      <c r="K40" s="12"/>
    </row>
    <row r="41" spans="2:11" x14ac:dyDescent="0.35">
      <c r="B41" s="21">
        <v>46753</v>
      </c>
      <c r="C41" s="10"/>
      <c r="D41" s="10"/>
      <c r="E41" s="10"/>
      <c r="F41" s="10"/>
      <c r="G41" s="10"/>
      <c r="H41" s="10"/>
      <c r="I41" s="10"/>
      <c r="J41" s="22"/>
      <c r="K41" s="12"/>
    </row>
    <row r="42" spans="2:11" x14ac:dyDescent="0.35">
      <c r="B42" s="21">
        <v>46784</v>
      </c>
      <c r="C42" s="10"/>
      <c r="D42" s="10"/>
      <c r="E42" s="10"/>
      <c r="F42" s="10"/>
      <c r="G42" s="10"/>
      <c r="H42" s="10"/>
      <c r="I42" s="10"/>
      <c r="J42" s="22"/>
      <c r="K42" s="12"/>
    </row>
    <row r="43" spans="2:11" x14ac:dyDescent="0.35">
      <c r="B43" s="21">
        <v>46813</v>
      </c>
      <c r="C43" s="10"/>
      <c r="D43" s="10"/>
      <c r="E43" s="10"/>
      <c r="F43" s="10"/>
      <c r="G43" s="10"/>
      <c r="H43" s="10"/>
      <c r="I43" s="10"/>
      <c r="J43" s="22"/>
      <c r="K43" s="12"/>
    </row>
    <row r="44" spans="2:11" x14ac:dyDescent="0.35">
      <c r="B44" s="21">
        <v>46844</v>
      </c>
      <c r="C44" s="10"/>
      <c r="D44" s="10"/>
      <c r="E44" s="10"/>
      <c r="F44" s="10"/>
      <c r="G44" s="10"/>
      <c r="H44" s="10"/>
      <c r="I44" s="10"/>
      <c r="J44" s="22"/>
      <c r="K44" s="12"/>
    </row>
    <row r="45" spans="2:11" x14ac:dyDescent="0.35">
      <c r="B45" s="21">
        <v>46874</v>
      </c>
      <c r="C45" s="10"/>
      <c r="D45" s="10"/>
      <c r="E45" s="10"/>
      <c r="F45" s="10"/>
      <c r="G45" s="10"/>
      <c r="H45" s="10"/>
      <c r="I45" s="10"/>
      <c r="J45" s="22"/>
      <c r="K45" s="12"/>
    </row>
    <row r="46" spans="2:11" x14ac:dyDescent="0.35">
      <c r="B46" s="21">
        <v>46905</v>
      </c>
      <c r="C46" s="10"/>
      <c r="D46" s="10"/>
      <c r="E46" s="10"/>
      <c r="F46" s="10"/>
      <c r="G46" s="10"/>
      <c r="H46" s="10"/>
      <c r="I46" s="10"/>
      <c r="J46" s="22"/>
      <c r="K46" s="12"/>
    </row>
    <row r="47" spans="2:11" x14ac:dyDescent="0.35">
      <c r="B47" s="21">
        <v>46935</v>
      </c>
      <c r="C47" s="10"/>
      <c r="D47" s="10"/>
      <c r="E47" s="10"/>
      <c r="F47" s="10"/>
      <c r="G47" s="10"/>
      <c r="H47" s="10"/>
      <c r="I47" s="10"/>
      <c r="J47" s="22"/>
      <c r="K47" s="12"/>
    </row>
    <row r="48" spans="2:11" x14ac:dyDescent="0.35">
      <c r="B48" s="21">
        <v>46966</v>
      </c>
      <c r="C48" s="10"/>
      <c r="D48" s="10"/>
      <c r="E48" s="10"/>
      <c r="F48" s="10"/>
      <c r="G48" s="10"/>
      <c r="H48" s="10"/>
      <c r="I48" s="10"/>
      <c r="J48" s="22"/>
      <c r="K48" s="12"/>
    </row>
    <row r="49" spans="2:11" x14ac:dyDescent="0.35">
      <c r="B49" s="21">
        <v>46997</v>
      </c>
      <c r="C49" s="10"/>
      <c r="D49" s="10"/>
      <c r="E49" s="10"/>
      <c r="F49" s="10"/>
      <c r="G49" s="10"/>
      <c r="H49" s="10"/>
      <c r="I49" s="10"/>
      <c r="J49" s="22"/>
      <c r="K49" s="12"/>
    </row>
    <row r="50" spans="2:11" x14ac:dyDescent="0.35">
      <c r="B50" s="21">
        <v>47027</v>
      </c>
      <c r="C50" s="10"/>
      <c r="D50" s="10"/>
      <c r="E50" s="10"/>
      <c r="F50" s="10"/>
      <c r="G50" s="10"/>
      <c r="H50" s="10"/>
      <c r="I50" s="10"/>
      <c r="J50" s="22"/>
      <c r="K50" s="12"/>
    </row>
    <row r="51" spans="2:11" x14ac:dyDescent="0.35">
      <c r="B51" s="21">
        <v>47058</v>
      </c>
      <c r="C51" s="10"/>
      <c r="D51" s="10"/>
      <c r="E51" s="10"/>
      <c r="F51" s="10"/>
      <c r="G51" s="10"/>
      <c r="H51" s="10"/>
      <c r="I51" s="10"/>
      <c r="J51" s="22"/>
      <c r="K51" s="12"/>
    </row>
    <row r="52" spans="2:11" x14ac:dyDescent="0.35">
      <c r="B52" s="21">
        <v>47088</v>
      </c>
      <c r="C52" s="10"/>
      <c r="D52" s="10"/>
      <c r="E52" s="10"/>
      <c r="F52" s="10"/>
      <c r="G52" s="10"/>
      <c r="H52" s="10"/>
      <c r="I52" s="10"/>
      <c r="J52" s="22"/>
      <c r="K52" s="12"/>
    </row>
    <row r="54" spans="2:11" ht="21.95" customHeight="1" x14ac:dyDescent="0.35">
      <c r="B54" s="38" t="s">
        <v>131</v>
      </c>
      <c r="C54" s="37"/>
      <c r="D54" s="37"/>
      <c r="E54" s="37"/>
      <c r="F54" s="37"/>
      <c r="G54" s="37"/>
      <c r="H54" s="37"/>
      <c r="I54" s="37"/>
      <c r="J54" s="37"/>
      <c r="K54" s="37"/>
    </row>
    <row r="55" spans="2:11" ht="20.100000000000001" customHeight="1" x14ac:dyDescent="0.35">
      <c r="B55" s="9" t="s">
        <v>132</v>
      </c>
      <c r="I55" s="13">
        <f>SUMPRODUCT((B21:B52&gt;=DATE(2026,5,1))*(B21:B52&lt;=DATE(2027,9,1))*I21:I52)</f>
        <v>69500000</v>
      </c>
    </row>
    <row r="56" spans="2:11" ht="20.100000000000001" customHeight="1" x14ac:dyDescent="0.35">
      <c r="B56" s="9" t="s">
        <v>133</v>
      </c>
      <c r="I56" s="13">
        <f>AVERAGE(I21:I52)</f>
        <v>4633333.333333333</v>
      </c>
    </row>
    <row r="58" spans="2:11" x14ac:dyDescent="0.35">
      <c r="B58" s="18" t="s">
        <v>134</v>
      </c>
    </row>
    <row r="59" spans="2:11" x14ac:dyDescent="0.35">
      <c r="B59" s="18" t="s">
        <v>135</v>
      </c>
    </row>
  </sheetData>
  <mergeCells count="27">
    <mergeCell ref="B2:K2"/>
    <mergeCell ref="C15:E15"/>
    <mergeCell ref="C14:E14"/>
    <mergeCell ref="G16:H16"/>
    <mergeCell ref="E5:J5"/>
    <mergeCell ref="G9:H9"/>
    <mergeCell ref="C10:E10"/>
    <mergeCell ref="B54:K54"/>
    <mergeCell ref="G13:H13"/>
    <mergeCell ref="C13:E13"/>
    <mergeCell ref="G15:H15"/>
    <mergeCell ref="G14:H14"/>
    <mergeCell ref="B19:K19"/>
    <mergeCell ref="G17:H17"/>
    <mergeCell ref="C11:E11"/>
    <mergeCell ref="B4:K4"/>
    <mergeCell ref="G10:H10"/>
    <mergeCell ref="C8:E8"/>
    <mergeCell ref="C17:E17"/>
    <mergeCell ref="B7:K7"/>
    <mergeCell ref="C16:E16"/>
    <mergeCell ref="G12:H12"/>
    <mergeCell ref="G11:H11"/>
    <mergeCell ref="C5:D5"/>
    <mergeCell ref="C9:E9"/>
    <mergeCell ref="G8:H8"/>
    <mergeCell ref="C12:E12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74"/>
  <sheetViews>
    <sheetView showGridLines="0" workbookViewId="0">
      <selection activeCell="D22" sqref="D22"/>
    </sheetView>
  </sheetViews>
  <sheetFormatPr defaultRowHeight="13.5" x14ac:dyDescent="0.25"/>
  <cols>
    <col min="1" max="1" width="2" style="24" customWidth="1"/>
    <col min="2" max="2" width="29.625" style="24" customWidth="1"/>
    <col min="3" max="3" width="4" style="24" customWidth="1"/>
    <col min="4" max="6" width="18" style="24" customWidth="1"/>
    <col min="7" max="7" width="9" style="24" customWidth="1"/>
    <col min="8" max="16384" width="9" style="24"/>
  </cols>
  <sheetData>
    <row r="2" spans="2:6" ht="36" customHeight="1" x14ac:dyDescent="0.25">
      <c r="B2" s="57" t="s">
        <v>136</v>
      </c>
      <c r="C2" s="53"/>
      <c r="D2" s="53"/>
      <c r="E2" s="53"/>
      <c r="F2" s="53"/>
    </row>
    <row r="3" spans="2:6" ht="15.95" customHeight="1" x14ac:dyDescent="0.25">
      <c r="B3" s="25" t="s">
        <v>137</v>
      </c>
    </row>
    <row r="4" spans="2:6" ht="21.95" customHeight="1" x14ac:dyDescent="0.25">
      <c r="B4" s="52" t="s">
        <v>138</v>
      </c>
      <c r="C4" s="53"/>
      <c r="D4" s="53"/>
      <c r="E4" s="53"/>
      <c r="F4" s="53"/>
    </row>
    <row r="5" spans="2:6" ht="16.5" x14ac:dyDescent="0.3">
      <c r="B5" s="3" t="s">
        <v>139</v>
      </c>
      <c r="C5" s="4"/>
      <c r="D5" s="54">
        <v>1210000000</v>
      </c>
      <c r="E5" s="34"/>
    </row>
    <row r="6" spans="2:6" ht="16.5" x14ac:dyDescent="0.3">
      <c r="B6" s="3" t="s">
        <v>140</v>
      </c>
      <c r="C6" s="4"/>
      <c r="D6" s="54">
        <v>130000000</v>
      </c>
      <c r="E6" s="34"/>
    </row>
    <row r="7" spans="2:6" ht="16.5" x14ac:dyDescent="0.3">
      <c r="B7" s="3" t="s">
        <v>20</v>
      </c>
      <c r="C7" s="4"/>
      <c r="D7" s="54">
        <v>220000000</v>
      </c>
      <c r="E7" s="34"/>
    </row>
    <row r="8" spans="2:6" ht="16.5" x14ac:dyDescent="0.3">
      <c r="B8" s="3" t="s">
        <v>30</v>
      </c>
      <c r="C8" s="4"/>
      <c r="D8" s="54">
        <v>560000000</v>
      </c>
      <c r="E8" s="34"/>
    </row>
    <row r="9" spans="2:6" ht="16.5" x14ac:dyDescent="0.3">
      <c r="B9" s="3" t="s">
        <v>141</v>
      </c>
      <c r="C9" s="4"/>
      <c r="D9" s="54">
        <f>D52</f>
        <v>50000000</v>
      </c>
      <c r="E9" s="34"/>
    </row>
    <row r="10" spans="2:6" ht="16.5" x14ac:dyDescent="0.3">
      <c r="B10" s="3" t="s">
        <v>142</v>
      </c>
      <c r="C10" s="4"/>
      <c r="D10" s="54">
        <v>300000000</v>
      </c>
      <c r="E10" s="34"/>
    </row>
    <row r="11" spans="2:6" ht="16.5" x14ac:dyDescent="0.3">
      <c r="B11" s="3" t="s">
        <v>143</v>
      </c>
      <c r="C11" s="4"/>
      <c r="D11" s="54">
        <f>D72</f>
        <v>50000000</v>
      </c>
      <c r="E11" s="34"/>
    </row>
    <row r="13" spans="2:6" ht="21.95" customHeight="1" x14ac:dyDescent="0.25">
      <c r="B13" s="52" t="s">
        <v>144</v>
      </c>
      <c r="C13" s="53"/>
      <c r="D13" s="53"/>
      <c r="E13" s="53"/>
      <c r="F13" s="53"/>
    </row>
    <row r="14" spans="2:6" ht="16.5" x14ac:dyDescent="0.3">
      <c r="B14" s="1" t="s">
        <v>38</v>
      </c>
      <c r="C14" s="4"/>
      <c r="D14" s="1" t="s">
        <v>145</v>
      </c>
      <c r="E14" s="56" t="s">
        <v>146</v>
      </c>
      <c r="F14" s="34"/>
    </row>
    <row r="15" spans="2:6" ht="16.5" x14ac:dyDescent="0.3">
      <c r="B15" s="3" t="s">
        <v>147</v>
      </c>
      <c r="C15" s="4"/>
      <c r="D15" s="2">
        <v>130000000</v>
      </c>
      <c r="E15" s="55" t="s">
        <v>148</v>
      </c>
      <c r="F15" s="34"/>
    </row>
    <row r="16" spans="2:6" ht="16.5" x14ac:dyDescent="0.3">
      <c r="B16" s="3" t="s">
        <v>20</v>
      </c>
      <c r="C16" s="4"/>
      <c r="D16" s="2">
        <v>220000000</v>
      </c>
      <c r="E16" s="55"/>
      <c r="F16" s="34"/>
    </row>
    <row r="17" spans="2:6" ht="16.5" x14ac:dyDescent="0.3">
      <c r="B17" s="3" t="s">
        <v>149</v>
      </c>
      <c r="C17" s="4"/>
      <c r="D17" s="2">
        <v>560000000</v>
      </c>
      <c r="E17" s="55" t="s">
        <v>150</v>
      </c>
      <c r="F17" s="34"/>
    </row>
    <row r="18" spans="2:6" ht="16.5" x14ac:dyDescent="0.3">
      <c r="B18" s="3" t="s">
        <v>151</v>
      </c>
      <c r="C18" s="4"/>
      <c r="D18" s="2">
        <v>0</v>
      </c>
      <c r="E18" s="55"/>
      <c r="F18" s="34"/>
    </row>
    <row r="19" spans="2:6" x14ac:dyDescent="0.25">
      <c r="B19" s="3" t="s">
        <v>142</v>
      </c>
      <c r="C19" s="4"/>
      <c r="D19" s="2">
        <v>200000000</v>
      </c>
      <c r="E19" s="28"/>
      <c r="F19" s="29"/>
    </row>
    <row r="20" spans="2:6" x14ac:dyDescent="0.25">
      <c r="B20" s="3" t="s">
        <v>152</v>
      </c>
      <c r="C20" s="4"/>
      <c r="D20" s="2">
        <v>100000000</v>
      </c>
      <c r="E20" s="28"/>
      <c r="F20" s="29"/>
    </row>
    <row r="21" spans="2:6" ht="20.100000000000001" customHeight="1" x14ac:dyDescent="0.25">
      <c r="B21" s="6" t="s">
        <v>153</v>
      </c>
      <c r="C21" s="4"/>
      <c r="D21" s="6">
        <f>SUM(D15,D16,D17,D18,D19,D20)</f>
        <v>1210000000</v>
      </c>
    </row>
    <row r="23" spans="2:6" ht="21.95" customHeight="1" x14ac:dyDescent="0.25">
      <c r="B23" s="52" t="s">
        <v>154</v>
      </c>
      <c r="C23" s="53"/>
      <c r="D23" s="53"/>
      <c r="E23" s="53"/>
      <c r="F23" s="53"/>
    </row>
    <row r="24" spans="2:6" ht="16.5" x14ac:dyDescent="0.3">
      <c r="B24" s="3" t="s">
        <v>155</v>
      </c>
      <c r="C24" s="4"/>
      <c r="D24" s="2">
        <v>560000000</v>
      </c>
      <c r="E24" s="55" t="s">
        <v>156</v>
      </c>
      <c r="F24" s="34"/>
    </row>
    <row r="25" spans="2:6" ht="16.5" x14ac:dyDescent="0.3">
      <c r="B25" s="3" t="s">
        <v>157</v>
      </c>
      <c r="C25" s="4"/>
      <c r="D25" s="5"/>
      <c r="E25" s="55"/>
      <c r="F25" s="34"/>
    </row>
    <row r="26" spans="2:6" ht="16.5" x14ac:dyDescent="0.3">
      <c r="B26" s="3" t="s">
        <v>158</v>
      </c>
      <c r="C26" s="4"/>
      <c r="D26" s="5"/>
      <c r="E26" s="55"/>
      <c r="F26" s="34"/>
    </row>
    <row r="27" spans="2:6" ht="16.5" x14ac:dyDescent="0.3">
      <c r="B27" s="3" t="s">
        <v>159</v>
      </c>
      <c r="C27" s="4"/>
      <c r="D27" s="5"/>
      <c r="E27" s="55"/>
      <c r="F27" s="34"/>
    </row>
    <row r="28" spans="2:6" ht="16.5" x14ac:dyDescent="0.3">
      <c r="B28" s="3" t="s">
        <v>160</v>
      </c>
      <c r="C28" s="4"/>
      <c r="D28" s="5"/>
      <c r="E28" s="55"/>
      <c r="F28" s="34"/>
    </row>
    <row r="29" spans="2:6" ht="16.5" x14ac:dyDescent="0.3">
      <c r="B29" s="3" t="s">
        <v>161</v>
      </c>
      <c r="C29" s="4"/>
      <c r="D29" s="5"/>
      <c r="E29" s="55" t="s">
        <v>162</v>
      </c>
      <c r="F29" s="34"/>
    </row>
    <row r="30" spans="2:6" ht="16.5" x14ac:dyDescent="0.3">
      <c r="B30" s="3" t="s">
        <v>163</v>
      </c>
      <c r="C30" s="4"/>
      <c r="D30" s="5"/>
      <c r="E30" s="55"/>
      <c r="F30" s="34"/>
    </row>
    <row r="31" spans="2:6" ht="16.5" x14ac:dyDescent="0.3">
      <c r="B31" s="3" t="s">
        <v>164</v>
      </c>
      <c r="C31" s="4"/>
      <c r="D31" s="5"/>
      <c r="E31" s="55"/>
      <c r="F31" s="34"/>
    </row>
    <row r="33" spans="2:6" x14ac:dyDescent="0.25">
      <c r="B33" s="52" t="s">
        <v>154</v>
      </c>
      <c r="C33" s="53"/>
      <c r="D33" s="53"/>
      <c r="E33" s="53"/>
      <c r="F33" s="53"/>
    </row>
    <row r="34" spans="2:6" ht="16.5" x14ac:dyDescent="0.3">
      <c r="B34" s="3" t="s">
        <v>155</v>
      </c>
      <c r="C34" s="4"/>
      <c r="D34" s="2">
        <v>100000000</v>
      </c>
      <c r="E34" s="55" t="s">
        <v>165</v>
      </c>
      <c r="F34" s="34"/>
    </row>
    <row r="35" spans="2:6" ht="16.5" x14ac:dyDescent="0.3">
      <c r="B35" s="3" t="s">
        <v>157</v>
      </c>
      <c r="C35" s="4"/>
      <c r="D35" s="5"/>
      <c r="E35" s="55"/>
      <c r="F35" s="34"/>
    </row>
    <row r="36" spans="2:6" ht="16.5" x14ac:dyDescent="0.3">
      <c r="B36" s="3" t="s">
        <v>158</v>
      </c>
      <c r="C36" s="4"/>
      <c r="D36" s="5"/>
      <c r="E36" s="55"/>
      <c r="F36" s="34"/>
    </row>
    <row r="37" spans="2:6" ht="16.5" x14ac:dyDescent="0.3">
      <c r="B37" s="3" t="s">
        <v>159</v>
      </c>
      <c r="C37" s="4"/>
      <c r="D37" s="5"/>
      <c r="E37" s="55"/>
      <c r="F37" s="34"/>
    </row>
    <row r="38" spans="2:6" ht="16.5" x14ac:dyDescent="0.3">
      <c r="B38" s="3" t="s">
        <v>160</v>
      </c>
      <c r="C38" s="4"/>
      <c r="D38" s="5"/>
      <c r="E38" s="55"/>
      <c r="F38" s="34"/>
    </row>
    <row r="39" spans="2:6" ht="16.5" x14ac:dyDescent="0.3">
      <c r="B39" s="3" t="s">
        <v>161</v>
      </c>
      <c r="C39" s="4"/>
      <c r="D39" s="5"/>
      <c r="E39" s="55" t="s">
        <v>162</v>
      </c>
      <c r="F39" s="34"/>
    </row>
    <row r="40" spans="2:6" ht="16.5" x14ac:dyDescent="0.3">
      <c r="B40" s="3" t="s">
        <v>163</v>
      </c>
      <c r="C40" s="4"/>
      <c r="D40" s="5"/>
      <c r="E40" s="55"/>
      <c r="F40" s="34"/>
    </row>
    <row r="41" spans="2:6" ht="16.5" x14ac:dyDescent="0.3">
      <c r="B41" s="3" t="s">
        <v>164</v>
      </c>
      <c r="C41" s="4"/>
      <c r="D41" s="5"/>
      <c r="E41" s="55"/>
      <c r="F41" s="34"/>
    </row>
    <row r="43" spans="2:6" ht="21.95" customHeight="1" x14ac:dyDescent="0.25">
      <c r="B43" s="52" t="s">
        <v>166</v>
      </c>
      <c r="C43" s="53"/>
      <c r="D43" s="53"/>
      <c r="E43" s="53"/>
      <c r="F43" s="53"/>
    </row>
    <row r="44" spans="2:6" x14ac:dyDescent="0.25">
      <c r="B44" s="1" t="s">
        <v>38</v>
      </c>
      <c r="C44" s="4"/>
      <c r="D44" s="1" t="s">
        <v>167</v>
      </c>
      <c r="E44" s="1" t="s">
        <v>168</v>
      </c>
      <c r="F44" s="1" t="s">
        <v>18</v>
      </c>
    </row>
    <row r="45" spans="2:6" x14ac:dyDescent="0.25">
      <c r="B45" s="3" t="s">
        <v>169</v>
      </c>
      <c r="C45" s="4"/>
      <c r="D45" s="2">
        <v>40000000</v>
      </c>
      <c r="E45" s="2"/>
      <c r="F45" s="5"/>
    </row>
    <row r="46" spans="2:6" x14ac:dyDescent="0.25">
      <c r="B46" s="3" t="s">
        <v>170</v>
      </c>
      <c r="C46" s="4"/>
      <c r="D46" s="2"/>
      <c r="E46" s="2"/>
      <c r="F46" s="5"/>
    </row>
    <row r="47" spans="2:6" x14ac:dyDescent="0.25">
      <c r="B47" s="3" t="s">
        <v>171</v>
      </c>
      <c r="C47" s="4"/>
      <c r="D47" s="2"/>
      <c r="E47" s="2"/>
      <c r="F47" s="5"/>
    </row>
    <row r="48" spans="2:6" x14ac:dyDescent="0.25">
      <c r="B48" s="3" t="s">
        <v>172</v>
      </c>
      <c r="C48" s="4"/>
      <c r="D48" s="2">
        <v>4000000</v>
      </c>
      <c r="E48" s="2"/>
      <c r="F48" s="5"/>
    </row>
    <row r="49" spans="2:6" x14ac:dyDescent="0.25">
      <c r="B49" s="3" t="s">
        <v>173</v>
      </c>
      <c r="C49" s="4"/>
      <c r="D49" s="2">
        <v>6000000</v>
      </c>
      <c r="E49" s="2"/>
      <c r="F49" s="5"/>
    </row>
    <row r="50" spans="2:6" x14ac:dyDescent="0.25">
      <c r="B50" s="3" t="s">
        <v>174</v>
      </c>
      <c r="C50" s="4"/>
      <c r="D50" s="2"/>
      <c r="E50" s="2"/>
      <c r="F50" s="5"/>
    </row>
    <row r="51" spans="2:6" x14ac:dyDescent="0.25">
      <c r="B51" s="3" t="s">
        <v>53</v>
      </c>
      <c r="C51" s="4"/>
      <c r="D51" s="2"/>
      <c r="E51" s="2"/>
      <c r="F51" s="5"/>
    </row>
    <row r="52" spans="2:6" ht="20.100000000000001" customHeight="1" x14ac:dyDescent="0.25">
      <c r="B52" s="3" t="s">
        <v>141</v>
      </c>
      <c r="C52" s="4"/>
      <c r="D52" s="6">
        <f>SUM(D45,D46,D47,D48,D49,D50,D51)</f>
        <v>50000000</v>
      </c>
    </row>
    <row r="54" spans="2:6" ht="21.95" customHeight="1" x14ac:dyDescent="0.25">
      <c r="B54" s="52" t="s">
        <v>175</v>
      </c>
      <c r="C54" s="53"/>
      <c r="D54" s="53"/>
      <c r="E54" s="53"/>
      <c r="F54" s="53"/>
    </row>
    <row r="55" spans="2:6" ht="15.95" customHeight="1" x14ac:dyDescent="0.25">
      <c r="B55" s="25" t="s">
        <v>176</v>
      </c>
    </row>
    <row r="56" spans="2:6" ht="16.5" x14ac:dyDescent="0.3">
      <c r="B56" s="3" t="s">
        <v>177</v>
      </c>
      <c r="C56" s="4"/>
      <c r="D56" s="2">
        <v>300000000</v>
      </c>
      <c r="E56" s="55" t="s">
        <v>178</v>
      </c>
      <c r="F56" s="34"/>
    </row>
    <row r="57" spans="2:6" x14ac:dyDescent="0.25">
      <c r="B57" s="3" t="s">
        <v>179</v>
      </c>
      <c r="C57" s="4"/>
      <c r="D57" s="5" t="s">
        <v>180</v>
      </c>
    </row>
    <row r="59" spans="2:6" ht="21.95" customHeight="1" x14ac:dyDescent="0.25">
      <c r="B59" s="52" t="s">
        <v>181</v>
      </c>
      <c r="C59" s="53"/>
      <c r="D59" s="53"/>
      <c r="E59" s="53"/>
      <c r="F59" s="53"/>
    </row>
    <row r="60" spans="2:6" x14ac:dyDescent="0.25">
      <c r="B60" s="1" t="s">
        <v>38</v>
      </c>
      <c r="C60" s="4"/>
      <c r="D60" s="1" t="s">
        <v>167</v>
      </c>
      <c r="E60" s="1" t="s">
        <v>168</v>
      </c>
      <c r="F60" s="1" t="s">
        <v>18</v>
      </c>
    </row>
    <row r="61" spans="2:6" x14ac:dyDescent="0.25">
      <c r="B61" s="3" t="s">
        <v>182</v>
      </c>
      <c r="C61" s="4"/>
      <c r="D61" s="2"/>
      <c r="E61" s="2"/>
      <c r="F61" s="5"/>
    </row>
    <row r="62" spans="2:6" x14ac:dyDescent="0.25">
      <c r="B62" s="3" t="s">
        <v>183</v>
      </c>
      <c r="C62" s="4"/>
      <c r="D62" s="2">
        <v>10000000</v>
      </c>
      <c r="E62" s="2"/>
      <c r="F62" s="5"/>
    </row>
    <row r="63" spans="2:6" x14ac:dyDescent="0.25">
      <c r="B63" s="3" t="s">
        <v>184</v>
      </c>
      <c r="C63" s="4"/>
      <c r="D63" s="2"/>
      <c r="E63" s="2"/>
      <c r="F63" s="5"/>
    </row>
    <row r="64" spans="2:6" x14ac:dyDescent="0.25">
      <c r="B64" s="3" t="s">
        <v>185</v>
      </c>
      <c r="C64" s="4"/>
      <c r="D64" s="2"/>
      <c r="E64" s="2"/>
      <c r="F64" s="5"/>
    </row>
    <row r="65" spans="2:6" x14ac:dyDescent="0.25">
      <c r="B65" s="3" t="s">
        <v>186</v>
      </c>
      <c r="C65" s="4"/>
      <c r="D65" s="2"/>
      <c r="E65" s="2"/>
      <c r="F65" s="5"/>
    </row>
    <row r="66" spans="2:6" x14ac:dyDescent="0.25">
      <c r="B66" s="3" t="s">
        <v>187</v>
      </c>
      <c r="C66" s="4"/>
      <c r="D66" s="2"/>
      <c r="E66" s="2"/>
      <c r="F66" s="5"/>
    </row>
    <row r="67" spans="2:6" x14ac:dyDescent="0.25">
      <c r="B67" s="3" t="s">
        <v>188</v>
      </c>
      <c r="C67" s="4"/>
      <c r="D67" s="2">
        <v>10000000</v>
      </c>
      <c r="E67" s="2"/>
      <c r="F67" s="5"/>
    </row>
    <row r="68" spans="2:6" x14ac:dyDescent="0.25">
      <c r="B68" s="3" t="s">
        <v>189</v>
      </c>
      <c r="C68" s="4"/>
      <c r="D68" s="2">
        <v>10000000</v>
      </c>
      <c r="E68" s="2"/>
      <c r="F68" s="5"/>
    </row>
    <row r="69" spans="2:6" x14ac:dyDescent="0.25">
      <c r="B69" s="3" t="s">
        <v>190</v>
      </c>
      <c r="C69" s="4"/>
      <c r="D69" s="2">
        <v>10000000</v>
      </c>
      <c r="E69" s="2"/>
      <c r="F69" s="5"/>
    </row>
    <row r="70" spans="2:6" x14ac:dyDescent="0.25">
      <c r="B70" s="3" t="s">
        <v>191</v>
      </c>
      <c r="C70" s="4"/>
      <c r="D70" s="2">
        <v>10000000</v>
      </c>
      <c r="E70" s="2"/>
      <c r="F70" s="5"/>
    </row>
    <row r="71" spans="2:6" x14ac:dyDescent="0.25">
      <c r="B71" s="3" t="s">
        <v>53</v>
      </c>
      <c r="C71" s="4"/>
      <c r="D71" s="2"/>
      <c r="E71" s="2"/>
      <c r="F71" s="5"/>
    </row>
    <row r="72" spans="2:6" ht="20.100000000000001" customHeight="1" x14ac:dyDescent="0.25">
      <c r="B72" s="3" t="s">
        <v>143</v>
      </c>
      <c r="C72" s="4"/>
      <c r="D72" s="6">
        <f>SUM(D61,D62,D63,D64,D65,D66,D67,D68,D69,D70,D71)</f>
        <v>50000000</v>
      </c>
    </row>
    <row r="74" spans="2:6" x14ac:dyDescent="0.25">
      <c r="B74" s="25" t="s">
        <v>192</v>
      </c>
    </row>
  </sheetData>
  <mergeCells count="37">
    <mergeCell ref="E41:F41"/>
    <mergeCell ref="D5:E5"/>
    <mergeCell ref="E37:F37"/>
    <mergeCell ref="E18:F18"/>
    <mergeCell ref="E30:F30"/>
    <mergeCell ref="D7:E7"/>
    <mergeCell ref="E15:F15"/>
    <mergeCell ref="E27:F27"/>
    <mergeCell ref="E36:F36"/>
    <mergeCell ref="E26:F26"/>
    <mergeCell ref="D9:E9"/>
    <mergeCell ref="D8:E8"/>
    <mergeCell ref="E16:F16"/>
    <mergeCell ref="E25:F25"/>
    <mergeCell ref="B33:F33"/>
    <mergeCell ref="B2:F2"/>
    <mergeCell ref="E29:F29"/>
    <mergeCell ref="D11:E11"/>
    <mergeCell ref="E28:F28"/>
    <mergeCell ref="B23:F23"/>
    <mergeCell ref="B13:F13"/>
    <mergeCell ref="B4:F4"/>
    <mergeCell ref="D10:E10"/>
    <mergeCell ref="B54:F54"/>
    <mergeCell ref="E24:F24"/>
    <mergeCell ref="B59:F59"/>
    <mergeCell ref="E14:F14"/>
    <mergeCell ref="E17:F17"/>
    <mergeCell ref="E39:F39"/>
    <mergeCell ref="D6:E6"/>
    <mergeCell ref="B43:F43"/>
    <mergeCell ref="E35:F35"/>
    <mergeCell ref="E38:F38"/>
    <mergeCell ref="E40:F40"/>
    <mergeCell ref="E31:F31"/>
    <mergeCell ref="E56:F56"/>
    <mergeCell ref="E34:F34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52"/>
  <sheetViews>
    <sheetView showGridLines="0" workbookViewId="0">
      <selection activeCell="D20" sqref="D20"/>
    </sheetView>
  </sheetViews>
  <sheetFormatPr defaultRowHeight="16.5" x14ac:dyDescent="0.35"/>
  <cols>
    <col min="1" max="1" width="2" style="17" customWidth="1"/>
    <col min="2" max="2" width="22" style="17" customWidth="1"/>
    <col min="3" max="3" width="4" style="17" customWidth="1"/>
    <col min="4" max="5" width="16" style="17" customWidth="1"/>
    <col min="6" max="6" width="14" style="17" customWidth="1"/>
    <col min="7" max="7" width="16" style="17" customWidth="1"/>
    <col min="8" max="8" width="9" style="17" customWidth="1"/>
    <col min="9" max="16384" width="9" style="17"/>
  </cols>
  <sheetData>
    <row r="2" spans="2:7" ht="36" customHeight="1" x14ac:dyDescent="0.35">
      <c r="B2" s="58" t="s">
        <v>193</v>
      </c>
      <c r="C2" s="37"/>
      <c r="D2" s="37"/>
      <c r="E2" s="37"/>
      <c r="F2" s="37"/>
      <c r="G2" s="37"/>
    </row>
    <row r="3" spans="2:7" ht="15.95" customHeight="1" x14ac:dyDescent="0.35">
      <c r="B3" s="18" t="s">
        <v>194</v>
      </c>
    </row>
    <row r="4" spans="2:7" ht="21.95" customHeight="1" x14ac:dyDescent="0.35">
      <c r="B4" s="38" t="s">
        <v>138</v>
      </c>
      <c r="C4" s="37"/>
      <c r="D4" s="37"/>
      <c r="E4" s="37"/>
      <c r="F4" s="37"/>
      <c r="G4" s="37"/>
    </row>
    <row r="5" spans="2:7" ht="17.25" x14ac:dyDescent="0.35">
      <c r="B5" s="9" t="s">
        <v>195</v>
      </c>
      <c r="C5" s="16"/>
      <c r="D5" s="59">
        <f>D33</f>
        <v>50000000</v>
      </c>
      <c r="E5" s="33"/>
      <c r="F5" s="34"/>
    </row>
    <row r="6" spans="2:7" ht="17.25" x14ac:dyDescent="0.35">
      <c r="B6" s="9" t="s">
        <v>196</v>
      </c>
      <c r="C6" s="16"/>
      <c r="D6" s="59">
        <f>D42</f>
        <v>0</v>
      </c>
      <c r="E6" s="33"/>
      <c r="F6" s="34"/>
    </row>
    <row r="7" spans="2:7" ht="17.25" x14ac:dyDescent="0.35">
      <c r="B7" s="9" t="s">
        <v>197</v>
      </c>
      <c r="C7" s="16"/>
      <c r="D7" s="59">
        <f>D33+D42</f>
        <v>50000000</v>
      </c>
      <c r="E7" s="33"/>
      <c r="F7" s="34"/>
    </row>
    <row r="8" spans="2:7" ht="17.25" x14ac:dyDescent="0.35">
      <c r="B8" s="9" t="s">
        <v>31</v>
      </c>
      <c r="C8" s="16"/>
      <c r="D8" s="59">
        <f>G50</f>
        <v>30000000</v>
      </c>
      <c r="E8" s="33"/>
      <c r="F8" s="34"/>
    </row>
    <row r="9" spans="2:7" ht="17.25" x14ac:dyDescent="0.35">
      <c r="B9" s="9" t="s">
        <v>198</v>
      </c>
      <c r="C9" s="16"/>
      <c r="D9" s="59">
        <f>D7-D8</f>
        <v>20000000</v>
      </c>
      <c r="E9" s="33"/>
      <c r="F9" s="34"/>
    </row>
    <row r="11" spans="2:7" ht="21.95" customHeight="1" x14ac:dyDescent="0.35">
      <c r="B11" s="38" t="s">
        <v>199</v>
      </c>
      <c r="C11" s="37"/>
      <c r="D11" s="37"/>
      <c r="E11" s="37"/>
      <c r="F11" s="37"/>
      <c r="G11" s="37"/>
    </row>
    <row r="12" spans="2:7" x14ac:dyDescent="0.35">
      <c r="B12" s="8" t="s">
        <v>38</v>
      </c>
      <c r="C12" s="16"/>
      <c r="D12" s="8" t="s">
        <v>200</v>
      </c>
      <c r="E12" s="8" t="s">
        <v>201</v>
      </c>
      <c r="F12" s="8" t="s">
        <v>202</v>
      </c>
      <c r="G12" s="8" t="s">
        <v>146</v>
      </c>
    </row>
    <row r="13" spans="2:7" x14ac:dyDescent="0.35">
      <c r="B13" s="9" t="s">
        <v>203</v>
      </c>
      <c r="C13" s="16"/>
      <c r="D13" s="10"/>
      <c r="E13" s="10"/>
      <c r="F13" s="10">
        <f t="shared" ref="F13:F31" si="0">E13-D13</f>
        <v>0</v>
      </c>
      <c r="G13" s="12"/>
    </row>
    <row r="14" spans="2:7" x14ac:dyDescent="0.35">
      <c r="B14" s="9" t="s">
        <v>204</v>
      </c>
      <c r="C14" s="16"/>
      <c r="D14" s="10"/>
      <c r="E14" s="10"/>
      <c r="F14" s="10">
        <f t="shared" si="0"/>
        <v>0</v>
      </c>
      <c r="G14" s="12"/>
    </row>
    <row r="15" spans="2:7" x14ac:dyDescent="0.35">
      <c r="B15" s="9" t="s">
        <v>205</v>
      </c>
      <c r="C15" s="16"/>
      <c r="D15" s="10"/>
      <c r="E15" s="10"/>
      <c r="F15" s="10">
        <f t="shared" si="0"/>
        <v>0</v>
      </c>
      <c r="G15" s="12"/>
    </row>
    <row r="16" spans="2:7" x14ac:dyDescent="0.35">
      <c r="B16" s="9" t="s">
        <v>206</v>
      </c>
      <c r="C16" s="16"/>
      <c r="D16" s="10"/>
      <c r="E16" s="10"/>
      <c r="F16" s="10">
        <f t="shared" si="0"/>
        <v>0</v>
      </c>
      <c r="G16" s="12"/>
    </row>
    <row r="17" spans="2:7" x14ac:dyDescent="0.35">
      <c r="B17" s="9" t="s">
        <v>207</v>
      </c>
      <c r="C17" s="16"/>
      <c r="D17" s="10"/>
      <c r="E17" s="10"/>
      <c r="F17" s="10">
        <f t="shared" si="0"/>
        <v>0</v>
      </c>
      <c r="G17" s="12"/>
    </row>
    <row r="18" spans="2:7" ht="20.100000000000001" customHeight="1" x14ac:dyDescent="0.35">
      <c r="B18" s="9" t="s">
        <v>208</v>
      </c>
      <c r="C18" s="16"/>
      <c r="D18" s="13">
        <f>SUM(D13,D14,D15,D16,D17)</f>
        <v>0</v>
      </c>
      <c r="E18" s="13">
        <f>SUM(E13,E14,E15,E16,E17)</f>
        <v>0</v>
      </c>
      <c r="F18" s="13">
        <f t="shared" si="0"/>
        <v>0</v>
      </c>
    </row>
    <row r="19" spans="2:7" x14ac:dyDescent="0.35">
      <c r="B19" s="9" t="s">
        <v>209</v>
      </c>
      <c r="C19" s="16"/>
      <c r="D19" s="10">
        <v>50000000</v>
      </c>
      <c r="E19" s="10"/>
      <c r="F19" s="10">
        <f t="shared" si="0"/>
        <v>-50000000</v>
      </c>
      <c r="G19" s="12"/>
    </row>
    <row r="20" spans="2:7" x14ac:dyDescent="0.35">
      <c r="B20" s="9" t="s">
        <v>210</v>
      </c>
      <c r="C20" s="16"/>
      <c r="D20" s="10"/>
      <c r="E20" s="10"/>
      <c r="F20" s="10">
        <f t="shared" si="0"/>
        <v>0</v>
      </c>
      <c r="G20" s="12"/>
    </row>
    <row r="21" spans="2:7" x14ac:dyDescent="0.35">
      <c r="B21" s="9" t="s">
        <v>211</v>
      </c>
      <c r="C21" s="16"/>
      <c r="D21" s="10"/>
      <c r="E21" s="10"/>
      <c r="F21" s="10">
        <f t="shared" si="0"/>
        <v>0</v>
      </c>
      <c r="G21" s="12"/>
    </row>
    <row r="22" spans="2:7" x14ac:dyDescent="0.35">
      <c r="B22" s="9" t="s">
        <v>212</v>
      </c>
      <c r="C22" s="16"/>
      <c r="D22" s="10"/>
      <c r="E22" s="10"/>
      <c r="F22" s="10">
        <f t="shared" si="0"/>
        <v>0</v>
      </c>
      <c r="G22" s="12"/>
    </row>
    <row r="23" spans="2:7" x14ac:dyDescent="0.35">
      <c r="B23" s="9" t="s">
        <v>213</v>
      </c>
      <c r="C23" s="16"/>
      <c r="D23" s="10"/>
      <c r="E23" s="10"/>
      <c r="F23" s="10">
        <f t="shared" si="0"/>
        <v>0</v>
      </c>
      <c r="G23" s="12"/>
    </row>
    <row r="24" spans="2:7" x14ac:dyDescent="0.35">
      <c r="B24" s="9" t="s">
        <v>214</v>
      </c>
      <c r="C24" s="16"/>
      <c r="D24" s="10"/>
      <c r="E24" s="10"/>
      <c r="F24" s="10">
        <f t="shared" si="0"/>
        <v>0</v>
      </c>
      <c r="G24" s="12"/>
    </row>
    <row r="25" spans="2:7" ht="20.100000000000001" customHeight="1" x14ac:dyDescent="0.35">
      <c r="B25" s="9" t="s">
        <v>215</v>
      </c>
      <c r="C25" s="16"/>
      <c r="D25" s="13">
        <f>SUM(D19,D20,D21,D22,D23,D24)</f>
        <v>50000000</v>
      </c>
      <c r="E25" s="13">
        <f>SUM(E19,E20,E21,E22,E23,E24)</f>
        <v>0</v>
      </c>
      <c r="F25" s="13">
        <f t="shared" si="0"/>
        <v>-50000000</v>
      </c>
    </row>
    <row r="26" spans="2:7" x14ac:dyDescent="0.35">
      <c r="B26" s="9" t="s">
        <v>216</v>
      </c>
      <c r="C26" s="16"/>
      <c r="D26" s="10"/>
      <c r="E26" s="10"/>
      <c r="F26" s="10">
        <f t="shared" si="0"/>
        <v>0</v>
      </c>
      <c r="G26" s="12"/>
    </row>
    <row r="27" spans="2:7" x14ac:dyDescent="0.35">
      <c r="B27" s="9" t="s">
        <v>217</v>
      </c>
      <c r="C27" s="16"/>
      <c r="D27" s="10"/>
      <c r="E27" s="10"/>
      <c r="F27" s="10">
        <f t="shared" si="0"/>
        <v>0</v>
      </c>
      <c r="G27" s="12"/>
    </row>
    <row r="28" spans="2:7" ht="20.100000000000001" customHeight="1" x14ac:dyDescent="0.35">
      <c r="B28" s="9" t="s">
        <v>218</v>
      </c>
      <c r="C28" s="16"/>
      <c r="D28" s="13">
        <f>SUM(D26,D27)</f>
        <v>0</v>
      </c>
      <c r="E28" s="13">
        <f>SUM(E26,E27)</f>
        <v>0</v>
      </c>
      <c r="F28" s="13">
        <f t="shared" si="0"/>
        <v>0</v>
      </c>
    </row>
    <row r="29" spans="2:7" x14ac:dyDescent="0.35">
      <c r="B29" s="9" t="s">
        <v>219</v>
      </c>
      <c r="C29" s="16"/>
      <c r="D29" s="10"/>
      <c r="E29" s="10"/>
      <c r="F29" s="10">
        <f t="shared" si="0"/>
        <v>0</v>
      </c>
      <c r="G29" s="12"/>
    </row>
    <row r="30" spans="2:7" x14ac:dyDescent="0.35">
      <c r="B30" s="9" t="s">
        <v>220</v>
      </c>
      <c r="C30" s="16"/>
      <c r="D30" s="10"/>
      <c r="E30" s="10"/>
      <c r="F30" s="10">
        <f t="shared" si="0"/>
        <v>0</v>
      </c>
      <c r="G30" s="12"/>
    </row>
    <row r="31" spans="2:7" ht="20.100000000000001" customHeight="1" x14ac:dyDescent="0.35">
      <c r="B31" s="9" t="s">
        <v>221</v>
      </c>
      <c r="C31" s="16"/>
      <c r="D31" s="13">
        <f>SUM(D29,D30)</f>
        <v>0</v>
      </c>
      <c r="E31" s="13">
        <f>SUM(E29,E30)</f>
        <v>0</v>
      </c>
      <c r="F31" s="13">
        <f t="shared" si="0"/>
        <v>0</v>
      </c>
    </row>
    <row r="33" spans="2:7" ht="20.100000000000001" customHeight="1" x14ac:dyDescent="0.35">
      <c r="B33" s="9" t="s">
        <v>195</v>
      </c>
      <c r="C33" s="16"/>
      <c r="D33" s="13">
        <f>SUM(D13,D14,D15,D16,D17,D19,D20,D21,D22,D23,D24,D26,D27,D29,D30)</f>
        <v>50000000</v>
      </c>
      <c r="E33" s="13">
        <f>SUM(E13,E14,E15,E16,E17,E19,E20,E21,E22,E23,E24,E26,E27,E29,E30)</f>
        <v>0</v>
      </c>
      <c r="F33" s="13">
        <f>E33-D33</f>
        <v>-50000000</v>
      </c>
    </row>
    <row r="35" spans="2:7" ht="21.95" customHeight="1" x14ac:dyDescent="0.35">
      <c r="B35" s="38" t="s">
        <v>222</v>
      </c>
      <c r="C35" s="37"/>
      <c r="D35" s="37"/>
      <c r="E35" s="37"/>
      <c r="F35" s="37"/>
      <c r="G35" s="37"/>
    </row>
    <row r="36" spans="2:7" x14ac:dyDescent="0.35">
      <c r="B36" s="8" t="s">
        <v>38</v>
      </c>
      <c r="C36" s="16"/>
      <c r="D36" s="8" t="s">
        <v>167</v>
      </c>
      <c r="E36" s="8" t="s">
        <v>168</v>
      </c>
      <c r="F36" s="8" t="s">
        <v>202</v>
      </c>
      <c r="G36" s="8" t="s">
        <v>146</v>
      </c>
    </row>
    <row r="37" spans="2:7" x14ac:dyDescent="0.35">
      <c r="B37" s="9" t="s">
        <v>223</v>
      </c>
      <c r="C37" s="16"/>
      <c r="D37" s="10"/>
      <c r="E37" s="10"/>
      <c r="F37" s="10">
        <f t="shared" ref="F37:F42" si="1">E37-D37</f>
        <v>0</v>
      </c>
      <c r="G37" s="12"/>
    </row>
    <row r="38" spans="2:7" x14ac:dyDescent="0.35">
      <c r="B38" s="9" t="s">
        <v>224</v>
      </c>
      <c r="C38" s="16"/>
      <c r="D38" s="10"/>
      <c r="E38" s="10"/>
      <c r="F38" s="10">
        <f t="shared" si="1"/>
        <v>0</v>
      </c>
      <c r="G38" s="12"/>
    </row>
    <row r="39" spans="2:7" x14ac:dyDescent="0.35">
      <c r="B39" s="9" t="s">
        <v>225</v>
      </c>
      <c r="C39" s="16"/>
      <c r="D39" s="10"/>
      <c r="E39" s="10"/>
      <c r="F39" s="10">
        <f t="shared" si="1"/>
        <v>0</v>
      </c>
      <c r="G39" s="12"/>
    </row>
    <row r="40" spans="2:7" x14ac:dyDescent="0.35">
      <c r="B40" s="9" t="s">
        <v>226</v>
      </c>
      <c r="C40" s="16"/>
      <c r="D40" s="10"/>
      <c r="E40" s="10"/>
      <c r="F40" s="10">
        <f t="shared" si="1"/>
        <v>0</v>
      </c>
      <c r="G40" s="12"/>
    </row>
    <row r="41" spans="2:7" x14ac:dyDescent="0.35">
      <c r="B41" s="9" t="s">
        <v>227</v>
      </c>
      <c r="C41" s="16"/>
      <c r="D41" s="10"/>
      <c r="E41" s="10"/>
      <c r="F41" s="10">
        <f t="shared" si="1"/>
        <v>0</v>
      </c>
      <c r="G41" s="12"/>
    </row>
    <row r="42" spans="2:7" ht="20.100000000000001" customHeight="1" x14ac:dyDescent="0.35">
      <c r="B42" s="9" t="s">
        <v>196</v>
      </c>
      <c r="C42" s="16"/>
      <c r="D42" s="13">
        <f>SUM(D37,D38,D39,D40,D41)</f>
        <v>0</v>
      </c>
      <c r="E42" s="13">
        <f>SUM(E37,E38,E39,E40,E41)</f>
        <v>0</v>
      </c>
      <c r="F42" s="13">
        <f t="shared" si="1"/>
        <v>0</v>
      </c>
    </row>
    <row r="44" spans="2:7" ht="21.95" customHeight="1" x14ac:dyDescent="0.35">
      <c r="B44" s="38" t="s">
        <v>228</v>
      </c>
      <c r="C44" s="37"/>
      <c r="D44" s="37"/>
      <c r="E44" s="37"/>
      <c r="F44" s="37"/>
      <c r="G44" s="37"/>
    </row>
    <row r="45" spans="2:7" x14ac:dyDescent="0.35">
      <c r="B45" s="8" t="s">
        <v>229</v>
      </c>
      <c r="C45" s="16"/>
      <c r="D45" s="8" t="s">
        <v>230</v>
      </c>
      <c r="E45" s="8" t="s">
        <v>231</v>
      </c>
      <c r="F45" s="8" t="s">
        <v>232</v>
      </c>
      <c r="G45" s="8" t="s">
        <v>233</v>
      </c>
    </row>
    <row r="46" spans="2:7" x14ac:dyDescent="0.35">
      <c r="B46" s="9" t="s">
        <v>234</v>
      </c>
      <c r="C46" s="16"/>
      <c r="D46" s="10"/>
      <c r="E46" s="10"/>
      <c r="F46" s="10">
        <v>70000</v>
      </c>
      <c r="G46" s="10">
        <f>(D46+E46)*F46</f>
        <v>0</v>
      </c>
    </row>
    <row r="47" spans="2:7" x14ac:dyDescent="0.35">
      <c r="B47" s="9" t="s">
        <v>235</v>
      </c>
      <c r="C47" s="16"/>
      <c r="D47" s="10">
        <v>300</v>
      </c>
      <c r="E47" s="10"/>
      <c r="F47" s="10">
        <v>100000</v>
      </c>
      <c r="G47" s="10">
        <f>(D47+E47)*F47</f>
        <v>30000000</v>
      </c>
    </row>
    <row r="48" spans="2:7" x14ac:dyDescent="0.35">
      <c r="B48" s="9" t="s">
        <v>236</v>
      </c>
      <c r="C48" s="16"/>
      <c r="D48" s="10"/>
      <c r="E48" s="10"/>
      <c r="F48" s="10">
        <v>200000</v>
      </c>
      <c r="G48" s="10">
        <f>(D48+E48)*F48</f>
        <v>0</v>
      </c>
    </row>
    <row r="49" spans="2:7" x14ac:dyDescent="0.35">
      <c r="B49" s="9" t="s">
        <v>53</v>
      </c>
      <c r="C49" s="16"/>
      <c r="D49" s="10"/>
      <c r="E49" s="10"/>
      <c r="F49" s="10">
        <v>100000</v>
      </c>
      <c r="G49" s="10">
        <f>(D49+E49)*F49</f>
        <v>0</v>
      </c>
    </row>
    <row r="50" spans="2:7" ht="20.100000000000001" customHeight="1" x14ac:dyDescent="0.35">
      <c r="B50" s="9" t="s">
        <v>237</v>
      </c>
      <c r="C50" s="16"/>
      <c r="D50" s="23"/>
      <c r="E50" s="23"/>
      <c r="F50" s="23"/>
      <c r="G50" s="13">
        <f>SUM(G46,G47,G48,G49)</f>
        <v>30000000</v>
      </c>
    </row>
    <row r="52" spans="2:7" x14ac:dyDescent="0.35">
      <c r="B52" s="18" t="s">
        <v>238</v>
      </c>
    </row>
  </sheetData>
  <mergeCells count="10">
    <mergeCell ref="B2:G2"/>
    <mergeCell ref="D5:F5"/>
    <mergeCell ref="B44:G44"/>
    <mergeCell ref="B35:G35"/>
    <mergeCell ref="B4:G4"/>
    <mergeCell ref="D9:F9"/>
    <mergeCell ref="D7:F7"/>
    <mergeCell ref="D8:F8"/>
    <mergeCell ref="D6:F6"/>
    <mergeCell ref="B11:G1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대시보드</vt:lpstr>
      <vt:lpstr>자산현황</vt:lpstr>
      <vt:lpstr>자산_이력</vt:lpstr>
      <vt:lpstr>민엽_가계부</vt:lpstr>
      <vt:lpstr>현지_가계부</vt:lpstr>
      <vt:lpstr>월별저축</vt:lpstr>
      <vt:lpstr>부동산계획</vt:lpstr>
      <vt:lpstr>결혼계획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민엽 김</cp:lastModifiedBy>
  <dcterms:created xsi:type="dcterms:W3CDTF">2026-05-17T14:28:45Z</dcterms:created>
  <dcterms:modified xsi:type="dcterms:W3CDTF">2026-05-17T15:44:27Z</dcterms:modified>
</cp:coreProperties>
</file>