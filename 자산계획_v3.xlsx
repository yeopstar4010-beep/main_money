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35" yWindow="735" windowWidth="22020" windowHeight="18165" tabRatio="600" firstSheet="0" activeTab="0" autoFilterDateGrouping="1"/>
  </bookViews>
  <sheets>
    <sheet xmlns:r="http://schemas.openxmlformats.org/officeDocument/2006/relationships" name="대시보드" sheetId="1" state="visible" r:id="rId1"/>
    <sheet xmlns:r="http://schemas.openxmlformats.org/officeDocument/2006/relationships" name="자산현황" sheetId="2" state="visible" r:id="rId2"/>
    <sheet xmlns:r="http://schemas.openxmlformats.org/officeDocument/2006/relationships" name="자산_이력" sheetId="3" state="visible" r:id="rId3"/>
    <sheet xmlns:r="http://schemas.openxmlformats.org/officeDocument/2006/relationships" name="민엽_가계부" sheetId="4" state="visible" r:id="rId4"/>
    <sheet xmlns:r="http://schemas.openxmlformats.org/officeDocument/2006/relationships" name="현지_가계부" sheetId="5" state="visible" r:id="rId5"/>
    <sheet xmlns:r="http://schemas.openxmlformats.org/officeDocument/2006/relationships" name="월별저축" sheetId="6" state="visible" r:id="rId6"/>
    <sheet xmlns:r="http://schemas.openxmlformats.org/officeDocument/2006/relationships" name="부동산계획" sheetId="7" state="visible" r:id="rId7"/>
    <sheet xmlns:r="http://schemas.openxmlformats.org/officeDocument/2006/relationships" name="결혼계획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\-mm"/>
    <numFmt numFmtId="166" formatCode="0.0%"/>
  </numFmts>
  <fonts count="1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1F3864"/>
      <sz val="10"/>
    </font>
    <font>
      <name val="맑은 고딕"/>
      <charset val="129"/>
      <family val="3"/>
      <color rgb="FF1F3864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color rgb="FF595959"/>
      <sz val="10"/>
    </font>
    <font>
      <name val="맑은 고딕"/>
      <charset val="129"/>
      <family val="3"/>
      <sz val="8"/>
      <scheme val="minor"/>
    </font>
    <font>
      <name val="Noto Sans KR"/>
      <charset val="129"/>
      <family val="3"/>
      <color theme="1"/>
      <sz val="11"/>
    </font>
    <font>
      <name val="Noto Sans KR"/>
      <charset val="129"/>
      <family val="3"/>
      <color rgb="FF1F3864"/>
      <sz val="10"/>
    </font>
    <font>
      <name val="Noto Sans KR"/>
      <charset val="129"/>
      <family val="3"/>
      <b val="1"/>
      <color rgb="FFFFFFFF"/>
      <sz val="10"/>
    </font>
    <font>
      <name val="Noto Sans KR"/>
      <charset val="129"/>
      <family val="3"/>
      <b val="1"/>
      <color rgb="FF1F3864"/>
      <sz val="10"/>
    </font>
    <font>
      <name val="Noto Sans KR"/>
      <charset val="129"/>
      <family val="3"/>
      <color rgb="FF595959"/>
      <sz val="10"/>
    </font>
    <font>
      <name val="Noto Sans KR"/>
      <charset val="129"/>
      <family val="3"/>
      <i val="1"/>
      <color rgb="FF808080"/>
      <sz val="9"/>
    </font>
    <font>
      <name val="Noto Sans KR"/>
      <charset val="129"/>
      <family val="3"/>
      <color theme="1"/>
      <sz val="10"/>
    </font>
    <font>
      <name val="Noto Sans KR"/>
      <charset val="129"/>
      <family val="3"/>
      <i val="1"/>
      <color rgb="FF808080"/>
      <sz val="10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i val="1"/>
      <color rgb="FF808080"/>
      <sz val="10"/>
    </font>
    <font>
      <name val="Noto Sans KR"/>
      <charset val="129"/>
      <family val="3"/>
      <b val="1"/>
      <color rgb="FFFFFFFF"/>
      <sz val="12"/>
    </font>
    <font>
      <name val="맑은 고딕"/>
      <charset val="129"/>
      <family val="3"/>
      <color rgb="FF595959"/>
      <sz val="10"/>
    </font>
    <font>
      <name val="맑은 고딕"/>
      <charset val="129"/>
      <family val="3"/>
      <color rgb="FF1F3864"/>
      <sz val="10"/>
    </font>
  </fonts>
  <fills count="1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2E75B6"/>
      </patternFill>
    </fill>
    <fill>
      <patternFill patternType="solid">
        <fgColor rgb="FFFFF2CC"/>
      </patternFill>
    </fill>
    <fill>
      <patternFill patternType="solid">
        <fgColor rgb="FFFFE7E7"/>
      </patternFill>
    </fill>
    <fill>
      <patternFill patternType="solid">
        <fgColor rgb="FFE2EFDA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2F2F2"/>
      </patternFill>
    </fill>
    <fill>
      <patternFill patternType="solid">
        <fgColor rgb="FFFFFFFF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1"/>
  </cellStyleXfs>
  <cellXfs count="73">
    <xf numFmtId="0" fontId="0" fillId="0" borderId="0" pivotButton="0" quotePrefix="0" xfId="0"/>
    <xf numFmtId="0" fontId="1" fillId="3" borderId="2" applyAlignment="1" pivotButton="0" quotePrefix="0" xfId="0">
      <alignment horizontal="center" vertical="center" wrapText="1"/>
    </xf>
    <xf numFmtId="3" fontId="2" fillId="5" borderId="2" applyAlignment="1" pivotButton="0" quotePrefix="0" xfId="0">
      <alignment horizontal="right" vertical="center"/>
    </xf>
    <xf numFmtId="0" fontId="4" fillId="4" borderId="2" applyAlignment="1" pivotButton="0" quotePrefix="0" xfId="0">
      <alignment horizontal="left" vertical="center"/>
    </xf>
    <xf numFmtId="0" fontId="2" fillId="0" borderId="2" pivotButton="0" quotePrefix="0" xfId="0"/>
    <xf numFmtId="0" fontId="2" fillId="5" borderId="2" applyAlignment="1" pivotButton="0" quotePrefix="0" xfId="0">
      <alignment horizontal="left" vertical="center"/>
    </xf>
    <xf numFmtId="3" fontId="1" fillId="7" borderId="2" applyAlignment="1" pivotButton="0" quotePrefix="0" xfId="0">
      <alignment horizontal="right" vertical="center"/>
    </xf>
    <xf numFmtId="0" fontId="6" fillId="0" borderId="0" pivotButton="0" quotePrefix="0" xfId="0"/>
    <xf numFmtId="0" fontId="9" fillId="3" borderId="2" applyAlignment="1" pivotButton="0" quotePrefix="0" xfId="0">
      <alignment horizontal="center" vertical="center" wrapText="1"/>
    </xf>
    <xf numFmtId="0" fontId="10" fillId="4" borderId="2" applyAlignment="1" pivotButton="0" quotePrefix="0" xfId="0">
      <alignment horizontal="left" vertical="center"/>
    </xf>
    <xf numFmtId="3" fontId="7" fillId="5" borderId="2" applyAlignment="1" pivotButton="0" quotePrefix="0" xfId="0">
      <alignment horizontal="right" vertical="center"/>
    </xf>
    <xf numFmtId="164" fontId="7" fillId="5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/>
    </xf>
    <xf numFmtId="3" fontId="9" fillId="7" borderId="2" applyAlignment="1" pivotButton="0" quotePrefix="0" xfId="0">
      <alignment horizontal="right" vertical="center"/>
    </xf>
    <xf numFmtId="3" fontId="9" fillId="9" borderId="2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/>
    </xf>
    <xf numFmtId="0" fontId="7" fillId="0" borderId="2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horizontal="left" vertical="center"/>
    </xf>
    <xf numFmtId="0" fontId="9" fillId="10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165" fontId="9" fillId="4" borderId="2" applyAlignment="1" pivotButton="0" quotePrefix="0" xfId="0">
      <alignment horizontal="center" vertical="center" wrapText="1"/>
    </xf>
    <xf numFmtId="166" fontId="7" fillId="5" borderId="2" applyAlignment="1" pivotButton="0" quotePrefix="0" xfId="0">
      <alignment horizontal="right" vertical="center"/>
    </xf>
    <xf numFmtId="0" fontId="12" fillId="0" borderId="2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horizontal="left" vertical="center"/>
    </xf>
    <xf numFmtId="3" fontId="7" fillId="8" borderId="2" applyAlignment="1" pivotButton="0" quotePrefix="0" xfId="0">
      <alignment horizontal="right" vertical="center"/>
    </xf>
    <xf numFmtId="17" fontId="7" fillId="5" borderId="2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  <xf numFmtId="0" fontId="14" fillId="0" borderId="1" pivotButton="0" quotePrefix="0" xfId="0"/>
    <xf numFmtId="0" fontId="17" fillId="12" borderId="8" applyAlignment="1" pivotButton="0" quotePrefix="0" xfId="0">
      <alignment horizontal="left" vertical="center"/>
    </xf>
    <xf numFmtId="3" fontId="18" fillId="13" borderId="8" applyAlignment="1" pivotButton="0" quotePrefix="0" xfId="0">
      <alignment horizontal="right" vertical="center"/>
    </xf>
    <xf numFmtId="0" fontId="10" fillId="4" borderId="2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4" pivotButton="0" quotePrefix="0" xfId="0"/>
    <xf numFmtId="0" fontId="7" fillId="5" borderId="2" applyAlignment="1" pivotButton="0" quotePrefix="0" xfId="0">
      <alignment horizontal="left" vertical="center"/>
    </xf>
    <xf numFmtId="0" fontId="7" fillId="3" borderId="1" applyAlignment="1" pivotButton="0" quotePrefix="0" xfId="0">
      <alignment horizontal="left" vertical="center"/>
    </xf>
    <xf numFmtId="0" fontId="12" fillId="0" borderId="0" pivotButton="0" quotePrefix="0" xfId="0"/>
    <xf numFmtId="0" fontId="8" fillId="6" borderId="1" applyAlignment="1" pivotButton="0" quotePrefix="0" xfId="0">
      <alignment horizontal="left" vertical="center"/>
    </xf>
    <xf numFmtId="0" fontId="16" fillId="2" borderId="1" applyAlignment="1" pivotButton="0" quotePrefix="0" xfId="0">
      <alignment horizontal="left" vertical="center"/>
    </xf>
    <xf numFmtId="0" fontId="9" fillId="3" borderId="2" applyAlignment="1" pivotButton="0" quotePrefix="0" xfId="0">
      <alignment horizontal="center" vertical="center" wrapText="1"/>
    </xf>
    <xf numFmtId="0" fontId="8" fillId="6" borderId="5" applyAlignment="1" pivotButton="0" quotePrefix="0" xfId="0">
      <alignment horizontal="left" vertical="center"/>
    </xf>
    <xf numFmtId="0" fontId="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8" fillId="6" borderId="3" applyAlignment="1" pivotButton="0" quotePrefix="0" xfId="0">
      <alignment horizontal="left" vertical="center"/>
    </xf>
    <xf numFmtId="0" fontId="0" fillId="0" borderId="3" pivotButton="0" quotePrefix="0" xfId="0"/>
    <xf numFmtId="0" fontId="8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9" fillId="3" borderId="1" applyAlignment="1" pivotButton="0" quotePrefix="0" xfId="0">
      <alignment horizontal="center" vertical="center" wrapText="1"/>
    </xf>
    <xf numFmtId="3" fontId="7" fillId="5" borderId="2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14" fillId="0" borderId="0" pivotButton="0" quotePrefix="0" xfId="0"/>
    <xf numFmtId="3" fontId="2" fillId="5" borderId="2" applyAlignment="1" pivotButton="0" quotePrefix="0" xfId="0">
      <alignment horizontal="right" vertical="center"/>
    </xf>
    <xf numFmtId="0" fontId="2" fillId="5" borderId="2" applyAlignment="1" pivotButton="0" quotePrefix="0" xfId="0">
      <alignment horizontal="left" vertical="center"/>
    </xf>
    <xf numFmtId="0" fontId="1" fillId="3" borderId="2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left" vertical="center"/>
    </xf>
    <xf numFmtId="3" fontId="9" fillId="7" borderId="2" applyAlignment="1" pivotButton="0" quotePrefix="0" xfId="0">
      <alignment horizontal="right" vertical="center"/>
    </xf>
    <xf numFmtId="164" fontId="7" fillId="5" borderId="2" applyAlignment="1" pivotButton="0" quotePrefix="0" xfId="0">
      <alignment horizontal="center" vertical="center" wrapText="1"/>
    </xf>
    <xf numFmtId="0" fontId="9" fillId="3" borderId="8" applyAlignment="1" pivotButton="0" quotePrefix="0" xfId="0">
      <alignment horizontal="center" vertical="center" wrapText="1"/>
    </xf>
    <xf numFmtId="0" fontId="10" fillId="4" borderId="8" applyAlignment="1" pivotButton="0" quotePrefix="0" xfId="0">
      <alignment horizontal="left" vertical="center"/>
    </xf>
    <xf numFmtId="0" fontId="7" fillId="5" borderId="8" applyAlignment="1" pivotButton="0" quotePrefix="0" xfId="0">
      <alignment horizontal="left" vertical="center"/>
    </xf>
    <xf numFmtId="0" fontId="10" fillId="12" borderId="8" applyAlignment="1" pivotButton="0" quotePrefix="0" xfId="0">
      <alignment horizontal="left" vertical="center"/>
    </xf>
    <xf numFmtId="3" fontId="7" fillId="13" borderId="8" applyAlignment="1" pivotButton="0" quotePrefix="0" xfId="0">
      <alignment horizontal="right" vertical="center"/>
    </xf>
    <xf numFmtId="165" fontId="9" fillId="4" borderId="2" applyAlignment="1" pivotButton="0" quotePrefix="0" xfId="0">
      <alignment horizontal="center" vertical="center" wrapText="1"/>
    </xf>
    <xf numFmtId="166" fontId="7" fillId="5" borderId="2" applyAlignment="1" pivotButton="0" quotePrefix="0" xfId="0">
      <alignment horizontal="right" vertical="center"/>
    </xf>
    <xf numFmtId="3" fontId="7" fillId="5" borderId="8" applyAlignment="1" pivotButton="0" quotePrefix="0" xfId="0">
      <alignment horizontal="right" vertical="center"/>
    </xf>
    <xf numFmtId="3" fontId="2" fillId="5" borderId="8" applyAlignment="1" pivotButton="0" quotePrefix="0" xfId="0">
      <alignment horizontal="right" vertical="center"/>
    </xf>
    <xf numFmtId="0" fontId="1" fillId="3" borderId="8" applyAlignment="1" pivotButton="0" quotePrefix="0" xfId="0">
      <alignment horizontal="center" vertical="center" wrapText="1"/>
    </xf>
    <xf numFmtId="0" fontId="2" fillId="5" borderId="8" applyAlignment="1" pivotButton="0" quotePrefix="0" xfId="0">
      <alignment horizontal="left" vertical="center"/>
    </xf>
    <xf numFmtId="3" fontId="9" fillId="7" borderId="8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30"/>
  <sheetViews>
    <sheetView showGridLines="0" tabSelected="1" zoomScaleNormal="100" workbookViewId="0">
      <selection activeCell="H29" sqref="H29"/>
    </sheetView>
  </sheetViews>
  <sheetFormatPr baseColWidth="8" defaultRowHeight="16.5"/>
  <cols>
    <col width="2" customWidth="1" style="37" min="1" max="1"/>
    <col width="18" customWidth="1" style="37" min="2" max="2"/>
    <col width="16" customWidth="1" style="37" min="3" max="4"/>
    <col width="14" customWidth="1" style="37" min="5" max="5"/>
    <col width="13.375" bestFit="1" customWidth="1" style="37" min="6" max="6"/>
    <col width="20" customWidth="1" style="37" min="7" max="7"/>
    <col width="14" customWidth="1" style="37" min="8" max="9"/>
    <col width="9" customWidth="1" style="37" min="10" max="10"/>
    <col width="9" customWidth="1" style="37" min="11" max="16384"/>
  </cols>
  <sheetData>
    <row r="2" ht="36" customHeight="1">
      <c r="B2" s="39" t="inlineStr">
        <is>
          <t xml:space="preserve">  민엽 &amp; 현지  자산관리 대시보드</t>
        </is>
      </c>
    </row>
    <row r="3" ht="18" customHeight="1">
      <c r="B3" s="36" t="inlineStr">
        <is>
          <t xml:space="preserve">  기준일: 2026년 05월 17일  |  각 시트에 입력하면 자동 업데이트</t>
        </is>
      </c>
    </row>
    <row r="5" ht="21.95" customHeight="1">
      <c r="B5" s="38" t="inlineStr">
        <is>
          <t>현재 순자산</t>
        </is>
      </c>
    </row>
    <row r="6">
      <c r="B6" s="40" t="inlineStr">
        <is>
          <t>항목</t>
        </is>
      </c>
      <c r="C6" s="40" t="inlineStr">
        <is>
          <t>민엽</t>
        </is>
      </c>
      <c r="D6" s="40" t="inlineStr">
        <is>
          <t>현지</t>
        </is>
      </c>
      <c r="E6" s="40" t="inlineStr">
        <is>
          <t>합계</t>
        </is>
      </c>
    </row>
    <row r="7">
      <c r="B7" s="32" t="inlineStr">
        <is>
          <t>현금·예금</t>
        </is>
      </c>
      <c r="C7" s="51">
        <f>자산현황!C16</f>
        <v/>
      </c>
      <c r="D7" s="51">
        <f>자산현황!E16</f>
        <v/>
      </c>
      <c r="E7" s="51">
        <f>자산현황!F16</f>
        <v/>
      </c>
    </row>
    <row r="8">
      <c r="B8" s="32" t="inlineStr">
        <is>
          <t>투자자산</t>
        </is>
      </c>
      <c r="C8" s="51">
        <f>자산현황!C25</f>
        <v/>
      </c>
      <c r="D8" s="51">
        <f>자산현황!E25</f>
        <v/>
      </c>
      <c r="E8" s="51">
        <f>자산현황!F25</f>
        <v/>
      </c>
    </row>
    <row r="9">
      <c r="B9" s="32" t="inlineStr">
        <is>
          <t>계약금</t>
        </is>
      </c>
      <c r="C9" s="51">
        <f>자산현황!C32</f>
        <v/>
      </c>
      <c r="D9" s="51">
        <f>자산현황!E32</f>
        <v/>
      </c>
      <c r="E9" s="51">
        <f>자산현황!F32</f>
        <v/>
      </c>
      <c r="G9" s="38" t="inlineStr">
        <is>
          <t>D-Day</t>
        </is>
      </c>
    </row>
    <row r="10">
      <c r="B10" s="32" t="inlineStr">
        <is>
          <t>부채</t>
        </is>
      </c>
      <c r="C10" s="51">
        <f>자산현황!C39</f>
        <v/>
      </c>
      <c r="D10" s="51">
        <f>자산현황!E39</f>
        <v/>
      </c>
      <c r="E10" s="51">
        <f>자산현황!F39</f>
        <v/>
      </c>
      <c r="G10" s="32" t="inlineStr">
        <is>
          <t>결혼식 (2027.07)</t>
        </is>
      </c>
      <c r="H10" s="60" t="n">
        <v>46569</v>
      </c>
      <c r="I10" s="59">
        <f>DATEDIF(TODAY(),H10,"D")</f>
        <v/>
      </c>
    </row>
    <row r="11" ht="24" customHeight="1">
      <c r="B11" s="32" t="inlineStr">
        <is>
          <t>순  자  산</t>
        </is>
      </c>
      <c r="C11" s="59">
        <f>자산현황!C43</f>
        <v/>
      </c>
      <c r="D11" s="59">
        <f>자산현황!E43</f>
        <v/>
      </c>
      <c r="E11" s="59">
        <f>자산현황!F43</f>
        <v/>
      </c>
      <c r="G11" s="32" t="inlineStr">
        <is>
          <t>잔금일 (2027.09)</t>
        </is>
      </c>
      <c r="H11" s="60" t="n">
        <v>46631</v>
      </c>
      <c r="I11" s="59">
        <f>DATEDIF(TODAY(),H11,"D")</f>
        <v/>
      </c>
    </row>
    <row r="14" ht="21.95" customHeight="1">
      <c r="B14" s="38" t="inlineStr">
        <is>
          <t>2027년 자금 계획 요약</t>
        </is>
      </c>
    </row>
    <row r="15" ht="17.25" customHeight="1">
      <c r="B15" s="40" t="inlineStr">
        <is>
          <t>구분</t>
        </is>
      </c>
      <c r="C15" s="61" t="inlineStr">
        <is>
          <t>항목</t>
        </is>
      </c>
      <c r="D15" s="33" t="n"/>
      <c r="E15" s="34" t="n"/>
      <c r="F15" s="40" t="inlineStr">
        <is>
          <t>금액 (원)</t>
        </is>
      </c>
      <c r="G15" s="61" t="inlineStr">
        <is>
          <t>비고</t>
        </is>
      </c>
      <c r="H15" s="34" t="n"/>
    </row>
    <row r="16" ht="17.25" customHeight="1">
      <c r="B16" s="32" t="inlineStr">
        <is>
          <t>지출</t>
        </is>
      </c>
      <c r="C16" s="62" t="inlineStr">
        <is>
          <t>잔금 자기자금</t>
        </is>
      </c>
      <c r="D16" s="33" t="n"/>
      <c r="E16" s="34" t="n"/>
      <c r="F16" s="51">
        <f>부동산계획!D7</f>
        <v/>
      </c>
      <c r="G16" s="63" t="n"/>
      <c r="H16" s="34" t="n"/>
    </row>
    <row r="17" ht="17.25" customHeight="1">
      <c r="B17" s="32" t="inlineStr">
        <is>
          <t>지출</t>
        </is>
      </c>
      <c r="C17" s="62" t="inlineStr">
        <is>
          <t>취득세·부대비용</t>
        </is>
      </c>
      <c r="D17" s="33" t="n"/>
      <c r="E17" s="34" t="n"/>
      <c r="F17" s="51">
        <f>부동산계획!D9</f>
        <v/>
      </c>
      <c r="G17" s="63" t="n"/>
      <c r="H17" s="34" t="n"/>
    </row>
    <row r="18" ht="17.25" customHeight="1">
      <c r="B18" s="32" t="inlineStr">
        <is>
          <t>지출</t>
        </is>
      </c>
      <c r="C18" s="62" t="inlineStr">
        <is>
          <t>세입자 보증금 반환</t>
        </is>
      </c>
      <c r="D18" s="33" t="n"/>
      <c r="E18" s="34" t="n"/>
      <c r="F18" s="51">
        <f>부동산계획!D10</f>
        <v/>
      </c>
      <c r="G18" s="63" t="n"/>
      <c r="H18" s="34" t="n"/>
    </row>
    <row r="19" ht="17.25" customHeight="1">
      <c r="B19" s="32" t="inlineStr">
        <is>
          <t>지출</t>
        </is>
      </c>
      <c r="C19" s="62" t="inlineStr">
        <is>
          <t>인테리어·가전</t>
        </is>
      </c>
      <c r="D19" s="33" t="n"/>
      <c r="E19" s="34" t="n"/>
      <c r="F19" s="51">
        <f>부동산계획!D11</f>
        <v/>
      </c>
      <c r="G19" s="63" t="n"/>
      <c r="H19" s="34" t="n"/>
    </row>
    <row r="20" ht="17.25" customHeight="1">
      <c r="B20" s="32" t="inlineStr">
        <is>
          <t>지출</t>
        </is>
      </c>
      <c r="C20" s="62" t="inlineStr">
        <is>
          <t>결혼식·신혼여행</t>
        </is>
      </c>
      <c r="D20" s="33" t="n"/>
      <c r="E20" s="34" t="n"/>
      <c r="F20" s="51">
        <f>결혼계획!D7</f>
        <v/>
      </c>
      <c r="G20" s="63" t="n"/>
      <c r="H20" s="34" t="n"/>
    </row>
    <row r="21" ht="17.25" customHeight="1">
      <c r="B21" s="32" t="inlineStr">
        <is>
          <t>지출</t>
        </is>
      </c>
      <c r="C21" s="62" t="inlineStr">
        <is>
          <t>어머니 차용금 상환</t>
        </is>
      </c>
      <c r="D21" s="33" t="n"/>
      <c r="E21" s="34" t="n"/>
      <c r="F21" s="51">
        <f>106000000</f>
        <v/>
      </c>
      <c r="G21" s="63" t="n"/>
      <c r="H21" s="34" t="n"/>
    </row>
    <row r="22" ht="20.1" customHeight="1">
      <c r="B22" s="32" t="n"/>
      <c r="C22" s="62" t="inlineStr">
        <is>
          <t>지출 합계</t>
        </is>
      </c>
      <c r="D22" s="33" t="n"/>
      <c r="E22" s="34" t="n"/>
      <c r="F22" s="59">
        <f>SUM(F16,F17,F18,F19,F20,F21)</f>
        <v/>
      </c>
    </row>
    <row r="23" ht="17.25" customHeight="1">
      <c r="B23" s="32" t="inlineStr">
        <is>
          <t>가용</t>
        </is>
      </c>
      <c r="C23" s="62" t="inlineStr">
        <is>
          <t>현재 가용 자산 (현금+투자-부채)</t>
        </is>
      </c>
      <c r="D23" s="33" t="n"/>
      <c r="E23" s="34" t="n"/>
      <c r="F23" s="51">
        <f>자산현황!F44</f>
        <v/>
      </c>
      <c r="G23" s="63" t="n"/>
      <c r="H23" s="34" t="n"/>
    </row>
    <row r="24" ht="17.25" customHeight="1">
      <c r="B24" s="32" t="inlineStr">
        <is>
          <t>가용</t>
        </is>
      </c>
      <c r="C24" s="62" t="inlineStr">
        <is>
          <t>2027.9까지 저축 예상</t>
        </is>
      </c>
      <c r="D24" s="33" t="n"/>
      <c r="E24" s="34" t="n"/>
      <c r="F24" s="51">
        <f>월별저축!I55</f>
        <v/>
      </c>
      <c r="G24" s="63" t="n"/>
      <c r="H24" s="34" t="n"/>
    </row>
    <row r="25" ht="17.25" customHeight="1">
      <c r="B25" s="32" t="inlineStr">
        <is>
          <t>가용</t>
        </is>
      </c>
      <c r="C25" s="62" t="inlineStr">
        <is>
          <t>대출 예정</t>
        </is>
      </c>
      <c r="D25" s="33" t="n"/>
      <c r="E25" s="34" t="n"/>
      <c r="F25" s="51">
        <f>부동산계획!D8+부동산계획!D34</f>
        <v/>
      </c>
      <c r="G25" s="63" t="n"/>
      <c r="H25" s="34" t="n"/>
    </row>
    <row r="26" ht="17.25" customHeight="1">
      <c r="B26" s="32" t="inlineStr">
        <is>
          <t>가용</t>
        </is>
      </c>
      <c r="C26" s="62" t="inlineStr">
        <is>
          <t>예상 축의금</t>
        </is>
      </c>
      <c r="D26" s="33" t="n"/>
      <c r="E26" s="34" t="n"/>
      <c r="F26" s="51">
        <f>결혼계획!D8</f>
        <v/>
      </c>
      <c r="G26" s="63" t="n"/>
      <c r="H26" s="34" t="n"/>
    </row>
    <row r="27" ht="20.1" customHeight="1">
      <c r="B27" s="32" t="n"/>
      <c r="C27" s="62" t="inlineStr">
        <is>
          <t>가용 합계</t>
        </is>
      </c>
      <c r="D27" s="33" t="n"/>
      <c r="E27" s="34" t="n"/>
      <c r="F27" s="59">
        <f>SUM(F23,F24,F25,F26)</f>
        <v/>
      </c>
    </row>
    <row r="28" ht="20.1" customHeight="1">
      <c r="B28" s="32" t="n"/>
      <c r="C28" s="62" t="inlineStr">
        <is>
          <t>여유 / 부족</t>
        </is>
      </c>
      <c r="D28" s="33" t="n"/>
      <c r="E28" s="34" t="n"/>
      <c r="F28" s="14">
        <f>F27-F22</f>
        <v/>
      </c>
    </row>
    <row r="30">
      <c r="B30" s="18" t="inlineStr">
        <is>
          <t xml:space="preserve">  ※ 각 시트(부동산계획·결혼계획·자산현황·월별저축)에 값을 입력하면 자동 반영됩니다.</t>
        </is>
      </c>
    </row>
  </sheetData>
  <mergeCells count="30">
    <mergeCell ref="C16:E16"/>
    <mergeCell ref="G21:H21"/>
    <mergeCell ref="C22:E22"/>
    <mergeCell ref="B3:I3"/>
    <mergeCell ref="G23:H23"/>
    <mergeCell ref="B5:E5"/>
    <mergeCell ref="C21:E21"/>
    <mergeCell ref="G17:H17"/>
    <mergeCell ref="C27:E27"/>
    <mergeCell ref="B2:I2"/>
    <mergeCell ref="C23:E23"/>
    <mergeCell ref="G19:H19"/>
    <mergeCell ref="C17:E17"/>
    <mergeCell ref="B14:I14"/>
    <mergeCell ref="G18:H18"/>
    <mergeCell ref="C28:E28"/>
    <mergeCell ref="C19:E19"/>
    <mergeCell ref="G24:H24"/>
    <mergeCell ref="G15:H15"/>
    <mergeCell ref="C18:E18"/>
    <mergeCell ref="G9:I9"/>
    <mergeCell ref="C15:E15"/>
    <mergeCell ref="G26:H26"/>
    <mergeCell ref="C24:E24"/>
    <mergeCell ref="G20:H20"/>
    <mergeCell ref="G16:H16"/>
    <mergeCell ref="G25:H25"/>
    <mergeCell ref="C26:E26"/>
    <mergeCell ref="C20:E20"/>
    <mergeCell ref="C25:E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G46"/>
  <sheetViews>
    <sheetView showGridLines="0" topLeftCell="A8" workbookViewId="0">
      <selection activeCell="F41" sqref="F41"/>
    </sheetView>
  </sheetViews>
  <sheetFormatPr baseColWidth="8" defaultRowHeight="16.5"/>
  <cols>
    <col width="2" customWidth="1" style="37" min="1" max="1"/>
    <col width="27.75" customWidth="1" style="37" min="2" max="2"/>
    <col width="12.375" bestFit="1" customWidth="1" style="37" min="3" max="3"/>
    <col width="10.5" bestFit="1" customWidth="1" style="37" min="4" max="4"/>
    <col width="11.625" bestFit="1" customWidth="1" style="37" min="5" max="5"/>
    <col width="12.375" bestFit="1" customWidth="1" style="37" min="6" max="6"/>
    <col width="21.75" bestFit="1" customWidth="1" style="37" min="7" max="7"/>
    <col width="9" customWidth="1" style="37" min="8" max="8"/>
    <col width="9" customWidth="1" style="37" min="9" max="16384"/>
  </cols>
  <sheetData>
    <row r="2" ht="36" customHeight="1">
      <c r="B2" s="39" t="inlineStr">
        <is>
          <t xml:space="preserve">  자산 현황</t>
        </is>
      </c>
    </row>
    <row r="3" ht="15.95" customHeight="1">
      <c r="B3" s="18" t="inlineStr">
        <is>
          <t xml:space="preserve">  기준: 매월 말일 업데이트 | D=민엽, E=현지, F=합계</t>
        </is>
      </c>
    </row>
    <row r="4" ht="21.95" customHeight="1">
      <c r="B4" s="41" t="inlineStr">
        <is>
          <t>현금 · 예금</t>
        </is>
      </c>
      <c r="C4" s="33" t="n"/>
      <c r="D4" s="33" t="n"/>
      <c r="E4" s="33" t="n"/>
      <c r="F4" s="33" t="n"/>
    </row>
    <row r="5" ht="21.95" customHeight="1">
      <c r="B5" s="40" t="inlineStr">
        <is>
          <t>항  목</t>
        </is>
      </c>
      <c r="C5" s="40" t="inlineStr">
        <is>
          <t>민  엽</t>
        </is>
      </c>
      <c r="D5" s="20" t="inlineStr">
        <is>
          <t>항  목</t>
        </is>
      </c>
      <c r="E5" s="20" t="inlineStr">
        <is>
          <t>현  지</t>
        </is>
      </c>
      <c r="F5" s="40" t="inlineStr">
        <is>
          <t>합  계</t>
        </is>
      </c>
    </row>
    <row r="6" ht="16.5" customHeight="1">
      <c r="B6" s="32" t="inlineStr">
        <is>
          <t>토스뱅크</t>
        </is>
      </c>
      <c r="C6" s="51" t="n">
        <v>1794954</v>
      </c>
      <c r="D6" s="32" t="inlineStr">
        <is>
          <t>OK 저축은행</t>
        </is>
      </c>
      <c r="E6" s="51" t="n">
        <v>20722500</v>
      </c>
      <c r="F6" s="51">
        <f>C6+E6</f>
        <v/>
      </c>
    </row>
    <row r="7" ht="16.5" customHeight="1">
      <c r="B7" s="32" t="inlineStr">
        <is>
          <t>주택청약(→연금)</t>
        </is>
      </c>
      <c r="C7" s="51" t="n">
        <v>0</v>
      </c>
      <c r="D7" s="32" t="inlineStr">
        <is>
          <t>주택청약(→연금)</t>
        </is>
      </c>
      <c r="E7" s="51" t="n">
        <v>0</v>
      </c>
      <c r="F7" s="51">
        <f>C7+E7</f>
        <v/>
      </c>
    </row>
    <row r="8" ht="16.5" customHeight="1">
      <c r="B8" s="32" t="inlineStr">
        <is>
          <t>하나은행</t>
        </is>
      </c>
      <c r="C8" s="51" t="n">
        <v>72561</v>
      </c>
      <c r="D8" s="32" t="inlineStr">
        <is>
          <t>농협</t>
        </is>
      </c>
      <c r="E8" s="51" t="n">
        <v>766576</v>
      </c>
      <c r="F8" s="51">
        <f>C8+E8</f>
        <v/>
      </c>
    </row>
    <row r="9">
      <c r="B9" s="32" t="inlineStr">
        <is>
          <t>기업은행</t>
        </is>
      </c>
      <c r="C9" s="51" t="n">
        <v>109094</v>
      </c>
      <c r="D9" s="32" t="inlineStr">
        <is>
          <t>기업은행</t>
        </is>
      </c>
      <c r="E9" s="51" t="n">
        <v>0</v>
      </c>
      <c r="F9" s="51">
        <f>C9+E9</f>
        <v/>
      </c>
    </row>
    <row r="10">
      <c r="B10" s="32" t="inlineStr">
        <is>
          <t>카카오뱅크</t>
        </is>
      </c>
      <c r="C10" s="51" t="n">
        <v>150012</v>
      </c>
      <c r="D10" s="32" t="n"/>
      <c r="E10" s="51" t="n"/>
      <c r="F10" s="51">
        <f>C10+E10</f>
        <v/>
      </c>
    </row>
    <row r="11">
      <c r="B11" s="32" t="inlineStr">
        <is>
          <t>우리은행</t>
        </is>
      </c>
      <c r="C11" s="51" t="n">
        <v>50000</v>
      </c>
      <c r="D11" s="32" t="n"/>
      <c r="E11" s="51" t="n"/>
      <c r="F11" s="51">
        <f>C11+E11</f>
        <v/>
      </c>
    </row>
    <row r="12">
      <c r="B12" s="32" t="inlineStr">
        <is>
          <t>OK토스플러스</t>
        </is>
      </c>
      <c r="C12" s="51" t="n">
        <v>300000</v>
      </c>
      <c r="D12" s="32" t="n"/>
      <c r="E12" s="51" t="n"/>
      <c r="F12" s="51">
        <f>C12+E12</f>
        <v/>
      </c>
    </row>
    <row r="13">
      <c r="B13" s="32" t="inlineStr">
        <is>
          <t>지역화폐</t>
        </is>
      </c>
      <c r="C13" s="51" t="n">
        <v>36779</v>
      </c>
      <c r="D13" s="32" t="n"/>
      <c r="E13" s="51" t="n"/>
      <c r="F13" s="51">
        <f>C13+E13</f>
        <v/>
      </c>
    </row>
    <row r="14">
      <c r="B14" s="32" t="inlineStr">
        <is>
          <t>배터리카드</t>
        </is>
      </c>
      <c r="C14" s="51" t="n">
        <v>400000</v>
      </c>
      <c r="D14" s="32" t="n"/>
      <c r="E14" s="51" t="n"/>
      <c r="F14" s="51">
        <f>C14+E14</f>
        <v/>
      </c>
    </row>
    <row r="15">
      <c r="B15" s="32" t="inlineStr">
        <is>
          <t>기타</t>
        </is>
      </c>
      <c r="C15" s="51" t="n">
        <v>3600000</v>
      </c>
      <c r="D15" s="32" t="n"/>
      <c r="E15" s="51" t="n"/>
      <c r="F15" s="51">
        <f>C15+E15</f>
        <v/>
      </c>
    </row>
    <row r="16" ht="20.1" customHeight="1">
      <c r="B16" s="32" t="inlineStr">
        <is>
          <t xml:space="preserve">  소  계</t>
        </is>
      </c>
      <c r="C16" s="59">
        <f>SUM(C6:C15)</f>
        <v/>
      </c>
      <c r="D16" s="59" t="n"/>
      <c r="E16" s="59">
        <f>SUM(E6,E8,E9,E10,E11,E12,E13,E14,E15)</f>
        <v/>
      </c>
      <c r="F16" s="59">
        <f>C16+E16</f>
        <v/>
      </c>
    </row>
    <row r="17" ht="21.95" customHeight="1">
      <c r="B17" s="41" t="inlineStr">
        <is>
          <t>투자 자산 (주식 · 코인 · 연금)</t>
        </is>
      </c>
      <c r="C17" s="33" t="n"/>
      <c r="D17" s="33" t="n"/>
      <c r="E17" s="33" t="n"/>
      <c r="F17" s="33" t="n"/>
    </row>
    <row r="18" ht="21.95" customHeight="1">
      <c r="B18" s="40" t="inlineStr">
        <is>
          <t>항  목</t>
        </is>
      </c>
      <c r="C18" s="40" t="inlineStr">
        <is>
          <t>민  엽</t>
        </is>
      </c>
      <c r="D18" s="20" t="inlineStr">
        <is>
          <t>항  목</t>
        </is>
      </c>
      <c r="E18" s="20" t="inlineStr">
        <is>
          <t>현  지</t>
        </is>
      </c>
      <c r="F18" s="40" t="inlineStr">
        <is>
          <t>합  계</t>
        </is>
      </c>
    </row>
    <row r="19">
      <c r="B19" s="32" t="inlineStr">
        <is>
          <t>키움증권</t>
        </is>
      </c>
      <c r="C19" s="51" t="n">
        <v>87576544</v>
      </c>
      <c r="D19" s="32" t="inlineStr">
        <is>
          <t>한국투자증권</t>
        </is>
      </c>
      <c r="E19" s="51" t="n">
        <v>76114704</v>
      </c>
      <c r="F19" s="51">
        <f>C19+E19</f>
        <v/>
      </c>
    </row>
    <row r="20">
      <c r="B20" s="32" t="inlineStr">
        <is>
          <t>토스주식</t>
        </is>
      </c>
      <c r="C20" s="51" t="n">
        <v>99471104</v>
      </c>
      <c r="D20" s="32" t="inlineStr">
        <is>
          <t>토스증권</t>
        </is>
      </c>
      <c r="E20" s="51" t="n">
        <v>41075120</v>
      </c>
      <c r="F20" s="51">
        <f>C20+E20</f>
        <v/>
      </c>
    </row>
    <row r="21">
      <c r="B21" s="32" t="inlineStr">
        <is>
          <t>자사주</t>
        </is>
      </c>
      <c r="C21" s="51" t="n">
        <v>9381394</v>
      </c>
      <c r="D21" s="32" t="inlineStr">
        <is>
          <t>대신증권</t>
        </is>
      </c>
      <c r="E21" s="51" t="n">
        <v>2035000</v>
      </c>
      <c r="F21" s="51">
        <f>C21+E21</f>
        <v/>
      </c>
    </row>
    <row r="22">
      <c r="B22" s="32" t="inlineStr">
        <is>
          <t>ISA</t>
        </is>
      </c>
      <c r="C22" s="51" t="n">
        <v>9381394</v>
      </c>
      <c r="D22" s="32" t="inlineStr">
        <is>
          <t>ISA (현지)</t>
        </is>
      </c>
      <c r="E22" s="51" t="n">
        <v>5297783</v>
      </c>
      <c r="F22" s="51">
        <f>C22+E22</f>
        <v/>
      </c>
    </row>
    <row r="23">
      <c r="B23" s="32" t="inlineStr">
        <is>
          <t>IRP·연금·청약</t>
        </is>
      </c>
      <c r="C23" s="51" t="n">
        <v>37464836</v>
      </c>
      <c r="D23" s="32" t="inlineStr">
        <is>
          <t>연금·청약(현지)</t>
        </is>
      </c>
      <c r="E23" s="51" t="n">
        <v>2562952</v>
      </c>
      <c r="F23" s="51">
        <f>C23+E23</f>
        <v/>
      </c>
    </row>
    <row r="24">
      <c r="B24" s="32" t="inlineStr">
        <is>
          <t>비트코인</t>
        </is>
      </c>
      <c r="C24" s="51" t="n">
        <v>31263027</v>
      </c>
      <c r="D24" s="32" t="inlineStr">
        <is>
          <t>업비트</t>
        </is>
      </c>
      <c r="E24" s="51" t="n">
        <v>680298</v>
      </c>
      <c r="F24" s="51">
        <f>C24+E24</f>
        <v/>
      </c>
    </row>
    <row r="25" ht="20.1" customHeight="1">
      <c r="B25" s="32" t="inlineStr">
        <is>
          <t xml:space="preserve">  소  계</t>
        </is>
      </c>
      <c r="C25" s="59">
        <f>SUM(C19,C20,C21,C22,C23,C24)</f>
        <v/>
      </c>
      <c r="D25" s="59" t="n"/>
      <c r="E25" s="59">
        <f>SUM(E19,E20,E21,E22,E23,E24)</f>
        <v/>
      </c>
      <c r="F25" s="59">
        <f>C25+E25</f>
        <v/>
      </c>
    </row>
    <row r="26" ht="21.95" customHeight="1">
      <c r="B26" s="44" t="inlineStr">
        <is>
          <t>계약금 납부 (유동성 없음)</t>
        </is>
      </c>
      <c r="C26" s="45" t="n"/>
      <c r="D26" s="45" t="n"/>
      <c r="E26" s="45" t="n"/>
      <c r="F26" s="45" t="n"/>
    </row>
    <row r="27" ht="21.95" customHeight="1">
      <c r="B27" s="40" t="inlineStr">
        <is>
          <t>항  목</t>
        </is>
      </c>
      <c r="C27" s="40" t="inlineStr">
        <is>
          <t>민  엽</t>
        </is>
      </c>
      <c r="D27" s="20" t="inlineStr">
        <is>
          <t>항  목</t>
        </is>
      </c>
      <c r="E27" s="20" t="inlineStr">
        <is>
          <t>현  지</t>
        </is>
      </c>
      <c r="F27" s="40" t="inlineStr">
        <is>
          <t>합  계</t>
        </is>
      </c>
    </row>
    <row r="28">
      <c r="B28" s="32" t="inlineStr">
        <is>
          <t>계약금 납부 (아파트)</t>
        </is>
      </c>
      <c r="C28" s="51" t="n">
        <v>130000000</v>
      </c>
      <c r="E28" s="51" t="n">
        <v>0</v>
      </c>
      <c r="F28" s="51">
        <f>C28+E28</f>
        <v/>
      </c>
      <c r="G28" s="35" t="inlineStr">
        <is>
          <t>2025.04 납부 / 잔금 전 고정</t>
        </is>
      </c>
    </row>
    <row r="29" ht="20.1" customHeight="1">
      <c r="B29" s="64" t="inlineStr">
        <is>
          <t>예식장 계약금</t>
        </is>
      </c>
      <c r="C29" s="65" t="n">
        <v>0</v>
      </c>
      <c r="D29" s="64" t="inlineStr">
        <is>
          <t>(예정)</t>
        </is>
      </c>
      <c r="E29" s="65" t="n">
        <v>0</v>
      </c>
      <c r="F29" s="65">
        <f>C29+E29</f>
        <v/>
      </c>
    </row>
    <row r="30" ht="21.95" customHeight="1">
      <c r="B30" s="64" t="inlineStr">
        <is>
          <t>취득세 납부</t>
        </is>
      </c>
      <c r="C30" s="65" t="n">
        <v>0</v>
      </c>
      <c r="D30" s="64" t="inlineStr"/>
      <c r="E30" s="65" t="n">
        <v>0</v>
      </c>
      <c r="F30" s="65">
        <f>C30+E30</f>
        <v/>
      </c>
    </row>
    <row r="31" ht="21.95" customHeight="1">
      <c r="B31" s="64" t="inlineStr">
        <is>
          <t>기타 납부</t>
        </is>
      </c>
      <c r="C31" s="65" t="n">
        <v>0</v>
      </c>
      <c r="D31" s="64" t="inlineStr"/>
      <c r="E31" s="65" t="n">
        <v>0</v>
      </c>
      <c r="F31" s="65">
        <f>C31+E31</f>
        <v/>
      </c>
    </row>
    <row r="32">
      <c r="B32" s="32" t="inlineStr">
        <is>
          <t xml:space="preserve">  소  계</t>
        </is>
      </c>
      <c r="C32" s="59">
        <f>SUM(C28:C31)</f>
        <v/>
      </c>
      <c r="D32" s="59" t="n"/>
      <c r="E32" s="59">
        <f>SUM(E28:E31)</f>
        <v/>
      </c>
      <c r="F32" s="59">
        <f>C32+E32</f>
        <v/>
      </c>
    </row>
    <row r="33" ht="20.1" customHeight="1">
      <c r="B33" s="41" t="inlineStr">
        <is>
          <t>부  채 (마이너스 입력)</t>
        </is>
      </c>
      <c r="C33" s="33" t="n"/>
      <c r="D33" s="33" t="n"/>
      <c r="E33" s="33" t="n"/>
      <c r="F33" s="33" t="n"/>
    </row>
    <row r="34">
      <c r="B34" s="40" t="inlineStr">
        <is>
          <t>항  목</t>
        </is>
      </c>
      <c r="C34" s="40" t="inlineStr">
        <is>
          <t>민  엽</t>
        </is>
      </c>
      <c r="D34" s="20" t="inlineStr">
        <is>
          <t>항  목</t>
        </is>
      </c>
      <c r="E34" s="20" t="inlineStr">
        <is>
          <t>현  지</t>
        </is>
      </c>
      <c r="F34" s="40" t="inlineStr">
        <is>
          <t>합  계</t>
        </is>
      </c>
    </row>
    <row r="35" ht="21.95" customHeight="1">
      <c r="B35" s="32" t="inlineStr">
        <is>
          <t>대출(어머니)</t>
        </is>
      </c>
      <c r="C35" s="51" t="n">
        <v>-106000000</v>
      </c>
      <c r="D35" s="30" t="inlineStr">
        <is>
          <t>대출(어머니)</t>
        </is>
      </c>
      <c r="E35" s="51" t="n">
        <v>0</v>
      </c>
      <c r="F35" s="51">
        <f>C32+E32</f>
        <v/>
      </c>
    </row>
    <row r="36" ht="21.95" customHeight="1">
      <c r="B36" s="30" t="inlineStr">
        <is>
          <t>대출(주담대)</t>
        </is>
      </c>
      <c r="C36" s="31" t="n">
        <v>0</v>
      </c>
      <c r="D36" s="30" t="inlineStr">
        <is>
          <t>대출(주담대)</t>
        </is>
      </c>
      <c r="E36" s="31" t="n">
        <v>0</v>
      </c>
      <c r="F36" s="31">
        <f>C33+E33</f>
        <v/>
      </c>
    </row>
    <row r="37" ht="26.1" customHeight="1">
      <c r="B37" s="30" t="inlineStr">
        <is>
          <t>대출(보증금 반환)</t>
        </is>
      </c>
      <c r="C37" s="31" t="n">
        <v>0</v>
      </c>
      <c r="D37" s="30" t="inlineStr">
        <is>
          <t>대출(보증금 반환)</t>
        </is>
      </c>
      <c r="E37" s="31" t="n">
        <v>0</v>
      </c>
      <c r="F37" s="31">
        <f>C34+E34</f>
        <v/>
      </c>
    </row>
    <row r="38" ht="21.95" customHeight="1">
      <c r="B38" s="30" t="inlineStr">
        <is>
          <t>대출(신용)</t>
        </is>
      </c>
      <c r="C38" s="31" t="n">
        <v>0</v>
      </c>
      <c r="D38" s="30" t="inlineStr">
        <is>
          <t>대출(신용)</t>
        </is>
      </c>
      <c r="E38" s="31" t="n">
        <v>0</v>
      </c>
      <c r="F38" s="31">
        <f>C35+E35</f>
        <v/>
      </c>
    </row>
    <row r="39">
      <c r="B39" s="32" t="inlineStr">
        <is>
          <t xml:space="preserve">  소  계</t>
        </is>
      </c>
      <c r="C39" s="59">
        <f>SUM(C32:C35)</f>
        <v/>
      </c>
      <c r="D39" s="59" t="n"/>
      <c r="E39" s="59">
        <f>SUM(E32:E35)</f>
        <v/>
      </c>
      <c r="F39" s="59">
        <f>C36+E36</f>
        <v/>
      </c>
    </row>
    <row r="40"/>
    <row r="41">
      <c r="B41" s="42" t="inlineStr">
        <is>
          <t>순자산 합계</t>
        </is>
      </c>
      <c r="C41" s="43" t="n"/>
      <c r="D41" s="43" t="n"/>
      <c r="E41" s="43" t="n"/>
      <c r="F41" s="43" t="n"/>
    </row>
    <row r="42">
      <c r="B42" s="40" t="inlineStr">
        <is>
          <t>항  목</t>
        </is>
      </c>
      <c r="C42" s="40" t="inlineStr">
        <is>
          <t>민  엽</t>
        </is>
      </c>
      <c r="D42" s="20" t="inlineStr">
        <is>
          <t>항  목</t>
        </is>
      </c>
      <c r="E42" s="20" t="inlineStr">
        <is>
          <t>현  지</t>
        </is>
      </c>
      <c r="F42" s="40" t="inlineStr">
        <is>
          <t>합  계</t>
        </is>
      </c>
    </row>
    <row r="43">
      <c r="B43" s="32" t="inlineStr">
        <is>
          <t>순자산 = 현금+투자+계약금 - 부채</t>
        </is>
      </c>
      <c r="C43" s="59">
        <f>C16+C25+C32+C39</f>
        <v/>
      </c>
      <c r="D43" s="59">
        <f>D16+D25+D32+D39</f>
        <v/>
      </c>
      <c r="E43" s="59">
        <f>E16+E25+E32+E39</f>
        <v/>
      </c>
      <c r="F43" s="59">
        <f>F16+F25+F32+F39</f>
        <v/>
      </c>
    </row>
    <row r="44">
      <c r="B44" s="32" t="inlineStr">
        <is>
          <t>가용 자산 = 현금+투자-부채</t>
        </is>
      </c>
      <c r="C44" s="59">
        <f>C16+C25+C39</f>
        <v/>
      </c>
      <c r="D44" s="59">
        <f>D16+D25+D39</f>
        <v/>
      </c>
      <c r="E44" s="59">
        <f>E16+E25+E39</f>
        <v/>
      </c>
      <c r="F44" s="59">
        <f>C44+E44</f>
        <v/>
      </c>
    </row>
    <row r="45"/>
    <row r="46">
      <c r="B46" s="18" t="inlineStr">
        <is>
          <t xml:space="preserve">  ※ D·E열(금액)만 수정. F열과 소계·순자산은 자동 계산.</t>
        </is>
      </c>
    </row>
  </sheetData>
  <mergeCells count="6">
    <mergeCell ref="B4:F4"/>
    <mergeCell ref="B30:F30"/>
    <mergeCell ref="B38:F38"/>
    <mergeCell ref="B2:F2"/>
    <mergeCell ref="B26:F26"/>
    <mergeCell ref="B17:F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N40"/>
  <sheetViews>
    <sheetView showGridLines="0" workbookViewId="0">
      <selection activeCell="E32" sqref="E32"/>
    </sheetView>
  </sheetViews>
  <sheetFormatPr baseColWidth="8" defaultRowHeight="18"/>
  <cols>
    <col width="2" customWidth="1" style="47" min="1" max="1"/>
    <col width="9.625" customWidth="1" style="47" min="2" max="2"/>
    <col width="9.5" bestFit="1" customWidth="1" style="47" min="3" max="3"/>
    <col width="10.375" bestFit="1" customWidth="1" style="47" min="4" max="4"/>
    <col width="9.5" bestFit="1" customWidth="1" style="47" min="5" max="5"/>
    <col width="8.625" bestFit="1" customWidth="1" style="47" min="6" max="6"/>
    <col width="10.375" bestFit="1" customWidth="1" style="47" min="7" max="7"/>
    <col width="9.5" bestFit="1" customWidth="1" style="47" min="8" max="8"/>
    <col width="10.375" bestFit="1" customWidth="1" style="47" min="9" max="9"/>
    <col width="8.625" bestFit="1" customWidth="1" style="47" min="10" max="10"/>
    <col width="10.375" bestFit="1" customWidth="1" style="47" min="11" max="13"/>
    <col width="7.625" bestFit="1" customWidth="1" style="47" min="14" max="14"/>
    <col width="9" customWidth="1" style="47" min="15" max="15"/>
    <col width="9" customWidth="1" style="47" min="16" max="16384"/>
  </cols>
  <sheetData>
    <row r="2" ht="36" customHeight="1">
      <c r="B2" s="39" t="inlineStr">
        <is>
          <t xml:space="preserve">  자산 월별 이력</t>
        </is>
      </c>
    </row>
    <row r="3" ht="15.95" customHeight="1">
      <c r="B3" s="15" t="inlineStr">
        <is>
          <t xml:space="preserve">  매월 말일 잔액을 직접 입력하세요. 순자산·전월비·변동률은 자동 계산됩니다.</t>
        </is>
      </c>
    </row>
    <row r="4">
      <c r="B4" s="61" t="inlineStr">
        <is>
          <t>월</t>
        </is>
      </c>
      <c r="C4" s="48" t="inlineStr">
        <is>
          <t>민  엽</t>
        </is>
      </c>
      <c r="H4" s="46" t="inlineStr">
        <is>
          <t>현  지</t>
        </is>
      </c>
      <c r="L4" s="50" t="inlineStr">
        <is>
          <t>합  계</t>
        </is>
      </c>
    </row>
    <row r="5">
      <c r="B5" s="49" t="n"/>
      <c r="C5" s="40" t="inlineStr">
        <is>
          <t>현금·예금</t>
        </is>
      </c>
      <c r="D5" s="40" t="inlineStr">
        <is>
          <t>주식·코인</t>
        </is>
      </c>
      <c r="E5" s="40" t="inlineStr">
        <is>
          <t>IRP·연금</t>
        </is>
      </c>
      <c r="F5" s="40" t="inlineStr">
        <is>
          <t>기타</t>
        </is>
      </c>
      <c r="G5" s="40" t="inlineStr">
        <is>
          <t>순자산</t>
        </is>
      </c>
      <c r="H5" s="40" t="inlineStr">
        <is>
          <t>현금·예금</t>
        </is>
      </c>
      <c r="I5" s="40" t="inlineStr">
        <is>
          <t>주식</t>
        </is>
      </c>
      <c r="J5" s="40" t="inlineStr">
        <is>
          <t>IRP·연금</t>
        </is>
      </c>
      <c r="K5" s="40" t="inlineStr">
        <is>
          <t>순자산</t>
        </is>
      </c>
      <c r="L5" s="40" t="inlineStr">
        <is>
          <t>순자산 합계</t>
        </is>
      </c>
      <c r="M5" s="40" t="inlineStr">
        <is>
          <t>전월비</t>
        </is>
      </c>
      <c r="N5" s="40" t="inlineStr">
        <is>
          <t>변동률</t>
        </is>
      </c>
    </row>
    <row r="6">
      <c r="B6" s="66" t="n">
        <v>46143</v>
      </c>
      <c r="C6" s="51">
        <f>자산현황!C16</f>
        <v/>
      </c>
      <c r="D6" s="51">
        <f>SUM(자산현황!C19+자산현황!C20+자산현황!C21+자산현황!C24)</f>
        <v/>
      </c>
      <c r="E6" s="51" t="n">
        <v>21144836</v>
      </c>
      <c r="F6" s="51" t="n">
        <v>9381394</v>
      </c>
      <c r="G6" s="51">
        <f>SUM(C6:F6)</f>
        <v/>
      </c>
      <c r="H6" s="51">
        <f>자산현황!E16</f>
        <v/>
      </c>
      <c r="I6" s="51">
        <f>자산현황!E19+자산현황!E20+자산현황!E21+자산현황!E22+자산현황!E24</f>
        <v/>
      </c>
      <c r="J6" s="51">
        <f>자산현황!E23</f>
        <v/>
      </c>
      <c r="K6" s="51">
        <f>SUM(H6:J6)</f>
        <v/>
      </c>
      <c r="L6" s="51">
        <f>G6+K6</f>
        <v/>
      </c>
      <c r="M6" s="51" t="n"/>
      <c r="N6" s="67" t="n"/>
    </row>
    <row r="7">
      <c r="B7" s="66" t="n">
        <v>46174</v>
      </c>
      <c r="C7" s="51" t="n">
        <v>0</v>
      </c>
      <c r="D7" s="51" t="n">
        <v>0</v>
      </c>
      <c r="E7" s="51" t="n">
        <v>0</v>
      </c>
      <c r="F7" s="51" t="n">
        <v>0</v>
      </c>
      <c r="G7" s="51">
        <f>SUM(C7:F7)</f>
        <v/>
      </c>
      <c r="H7" s="51" t="n">
        <v>0</v>
      </c>
      <c r="I7" s="51" t="n">
        <v>0</v>
      </c>
      <c r="J7" s="51" t="n">
        <v>0</v>
      </c>
      <c r="K7" s="51">
        <f>SUM(H7:J7)</f>
        <v/>
      </c>
      <c r="L7" s="51">
        <f>G7+K7</f>
        <v/>
      </c>
      <c r="M7" s="51">
        <f>L7-L6</f>
        <v/>
      </c>
      <c r="N7" s="67">
        <f>IF(L6=0,0,(L7-L6)/ABS(L6))</f>
        <v/>
      </c>
    </row>
    <row r="8">
      <c r="B8" s="66" t="n">
        <v>46204</v>
      </c>
      <c r="C8" s="51" t="n"/>
      <c r="D8" s="51" t="n"/>
      <c r="E8" s="51" t="n"/>
      <c r="F8" s="51" t="n"/>
      <c r="G8" s="51">
        <f>C8+D8+E8+F8</f>
        <v/>
      </c>
      <c r="H8" s="51" t="n"/>
      <c r="I8" s="51" t="n"/>
      <c r="J8" s="51" t="n"/>
      <c r="K8" s="51">
        <f>H8+I8+J8+K8</f>
        <v/>
      </c>
      <c r="L8" s="51">
        <f>G8+K8</f>
        <v/>
      </c>
      <c r="M8" s="51">
        <f>L8-L7</f>
        <v/>
      </c>
      <c r="N8" s="67">
        <f>IF(L7=0,0,(L8-L7)/ABS(L7))</f>
        <v/>
      </c>
    </row>
    <row r="9">
      <c r="B9" s="66" t="n">
        <v>46235</v>
      </c>
      <c r="C9" s="51" t="n"/>
      <c r="D9" s="51" t="n"/>
      <c r="E9" s="51" t="n"/>
      <c r="F9" s="51" t="n"/>
      <c r="G9" s="51">
        <f>C9+D9+E9+F9</f>
        <v/>
      </c>
      <c r="H9" s="51" t="n"/>
      <c r="I9" s="51" t="n"/>
      <c r="J9" s="51" t="n"/>
      <c r="K9" s="51">
        <f>H9+I9+J9+K9</f>
        <v/>
      </c>
      <c r="L9" s="51">
        <f>G9+K9</f>
        <v/>
      </c>
      <c r="M9" s="51">
        <f>L9-L8</f>
        <v/>
      </c>
      <c r="N9" s="67">
        <f>IF(L8=0,0,(L9-L8)/ABS(L8))</f>
        <v/>
      </c>
    </row>
    <row r="10">
      <c r="B10" s="66" t="n">
        <v>46266</v>
      </c>
      <c r="C10" s="51" t="n"/>
      <c r="D10" s="51" t="n"/>
      <c r="E10" s="51" t="n"/>
      <c r="F10" s="51" t="n"/>
      <c r="G10" s="51">
        <f>C10+D10+E10+F10</f>
        <v/>
      </c>
      <c r="H10" s="51" t="n"/>
      <c r="I10" s="51" t="n"/>
      <c r="J10" s="51" t="n"/>
      <c r="K10" s="51">
        <f>H10+I10+J10+K10</f>
        <v/>
      </c>
      <c r="L10" s="51">
        <f>G10+K10</f>
        <v/>
      </c>
      <c r="M10" s="51">
        <f>L10-L9</f>
        <v/>
      </c>
      <c r="N10" s="67">
        <f>IF(L9=0,0,(L10-L9)/ABS(L9))</f>
        <v/>
      </c>
    </row>
    <row r="11">
      <c r="B11" s="66" t="n">
        <v>46296</v>
      </c>
      <c r="C11" s="51" t="n"/>
      <c r="D11" s="51" t="n"/>
      <c r="E11" s="51" t="n"/>
      <c r="F11" s="51" t="n"/>
      <c r="G11" s="51">
        <f>C11+D11+E11+F11</f>
        <v/>
      </c>
      <c r="H11" s="51" t="n"/>
      <c r="I11" s="51" t="n"/>
      <c r="J11" s="51" t="n"/>
      <c r="K11" s="51">
        <f>H11+I11+J11+K11</f>
        <v/>
      </c>
      <c r="L11" s="51">
        <f>G11+K11</f>
        <v/>
      </c>
      <c r="M11" s="51">
        <f>L11-L10</f>
        <v/>
      </c>
      <c r="N11" s="67">
        <f>IF(L10=0,0,(L11-L10)/ABS(L10))</f>
        <v/>
      </c>
    </row>
    <row r="12">
      <c r="B12" s="66" t="n">
        <v>46327</v>
      </c>
      <c r="C12" s="51" t="n"/>
      <c r="D12" s="51" t="n"/>
      <c r="E12" s="51" t="n"/>
      <c r="F12" s="51" t="n"/>
      <c r="G12" s="51">
        <f>C12+D12+E12+F12</f>
        <v/>
      </c>
      <c r="H12" s="51" t="n"/>
      <c r="I12" s="51" t="n"/>
      <c r="J12" s="51" t="n"/>
      <c r="K12" s="51">
        <f>H12+I12+J12+K12</f>
        <v/>
      </c>
      <c r="L12" s="51">
        <f>G12+K12</f>
        <v/>
      </c>
      <c r="M12" s="51">
        <f>L12-L11</f>
        <v/>
      </c>
      <c r="N12" s="67">
        <f>IF(L11=0,0,(L12-L11)/ABS(L11))</f>
        <v/>
      </c>
    </row>
    <row r="13">
      <c r="B13" s="66" t="n">
        <v>46357</v>
      </c>
      <c r="C13" s="51" t="n"/>
      <c r="D13" s="51" t="n"/>
      <c r="E13" s="51" t="n"/>
      <c r="F13" s="51" t="n"/>
      <c r="G13" s="51">
        <f>C13+D13+E13+F13</f>
        <v/>
      </c>
      <c r="H13" s="51" t="n"/>
      <c r="I13" s="51" t="n"/>
      <c r="J13" s="51" t="n"/>
      <c r="K13" s="51">
        <f>H13+I13+J13+K13</f>
        <v/>
      </c>
      <c r="L13" s="51">
        <f>G13+K13</f>
        <v/>
      </c>
      <c r="M13" s="51">
        <f>L13-L12</f>
        <v/>
      </c>
      <c r="N13" s="67">
        <f>IF(L12=0,0,(L13-L12)/ABS(L12))</f>
        <v/>
      </c>
    </row>
    <row r="14">
      <c r="B14" s="66" t="n">
        <v>46388</v>
      </c>
      <c r="C14" s="51" t="n"/>
      <c r="D14" s="51" t="n"/>
      <c r="E14" s="51" t="n"/>
      <c r="F14" s="51" t="n"/>
      <c r="G14" s="51">
        <f>C14+D14+E14+F14</f>
        <v/>
      </c>
      <c r="H14" s="51" t="n"/>
      <c r="I14" s="51" t="n"/>
      <c r="J14" s="51" t="n"/>
      <c r="K14" s="51">
        <f>H14+I14+J14+K14</f>
        <v/>
      </c>
      <c r="L14" s="51">
        <f>G14+K14</f>
        <v/>
      </c>
      <c r="M14" s="51">
        <f>L14-L13</f>
        <v/>
      </c>
      <c r="N14" s="67">
        <f>IF(L13=0,0,(L14-L13)/ABS(L13))</f>
        <v/>
      </c>
    </row>
    <row r="15">
      <c r="B15" s="66" t="n">
        <v>46419</v>
      </c>
      <c r="C15" s="51" t="n"/>
      <c r="D15" s="51" t="n"/>
      <c r="E15" s="51" t="n"/>
      <c r="F15" s="51" t="n"/>
      <c r="G15" s="51">
        <f>C15+D15+E15+F15</f>
        <v/>
      </c>
      <c r="H15" s="51" t="n"/>
      <c r="I15" s="51" t="n"/>
      <c r="J15" s="51" t="n"/>
      <c r="K15" s="51">
        <f>H15+I15+J15+K15</f>
        <v/>
      </c>
      <c r="L15" s="51">
        <f>G15+K15</f>
        <v/>
      </c>
      <c r="M15" s="51">
        <f>L15-L14</f>
        <v/>
      </c>
      <c r="N15" s="67">
        <f>IF(L14=0,0,(L15-L14)/ABS(L14))</f>
        <v/>
      </c>
    </row>
    <row r="16">
      <c r="B16" s="66" t="n">
        <v>46447</v>
      </c>
      <c r="C16" s="51" t="n"/>
      <c r="D16" s="51" t="n"/>
      <c r="E16" s="51" t="n"/>
      <c r="F16" s="51" t="n"/>
      <c r="G16" s="51">
        <f>C16+D16+E16+F16</f>
        <v/>
      </c>
      <c r="H16" s="51" t="n"/>
      <c r="I16" s="51" t="n"/>
      <c r="J16" s="51" t="n"/>
      <c r="K16" s="51">
        <f>H16+I16+J16+K16</f>
        <v/>
      </c>
      <c r="L16" s="51">
        <f>G16+K16</f>
        <v/>
      </c>
      <c r="M16" s="51">
        <f>L16-L15</f>
        <v/>
      </c>
      <c r="N16" s="67">
        <f>IF(L15=0,0,(L16-L15)/ABS(L15))</f>
        <v/>
      </c>
    </row>
    <row r="17">
      <c r="B17" s="66" t="n">
        <v>46478</v>
      </c>
      <c r="C17" s="51" t="n"/>
      <c r="D17" s="51" t="n"/>
      <c r="E17" s="51" t="n"/>
      <c r="F17" s="51" t="n"/>
      <c r="G17" s="51">
        <f>C17+D17+E17+F17</f>
        <v/>
      </c>
      <c r="H17" s="51" t="n"/>
      <c r="I17" s="51" t="n"/>
      <c r="J17" s="51" t="n"/>
      <c r="K17" s="51">
        <f>H17+I17+J17+K17</f>
        <v/>
      </c>
      <c r="L17" s="51">
        <f>G17+K17</f>
        <v/>
      </c>
      <c r="M17" s="51">
        <f>L17-L16</f>
        <v/>
      </c>
      <c r="N17" s="67">
        <f>IF(L16=0,0,(L17-L16)/ABS(L16))</f>
        <v/>
      </c>
    </row>
    <row r="18">
      <c r="B18" s="66" t="n">
        <v>46508</v>
      </c>
      <c r="C18" s="51" t="n"/>
      <c r="D18" s="51" t="n"/>
      <c r="E18" s="51" t="n"/>
      <c r="F18" s="51" t="n"/>
      <c r="G18" s="51">
        <f>C18+D18+E18+F18</f>
        <v/>
      </c>
      <c r="H18" s="51" t="n"/>
      <c r="I18" s="51" t="n"/>
      <c r="J18" s="51" t="n"/>
      <c r="K18" s="51">
        <f>H18+I18+J18+K18</f>
        <v/>
      </c>
      <c r="L18" s="51">
        <f>G18+K18</f>
        <v/>
      </c>
      <c r="M18" s="51">
        <f>L18-L17</f>
        <v/>
      </c>
      <c r="N18" s="67">
        <f>IF(L17=0,0,(L18-L17)/ABS(L17))</f>
        <v/>
      </c>
    </row>
    <row r="19">
      <c r="B19" s="66" t="n">
        <v>46539</v>
      </c>
      <c r="C19" s="51" t="n"/>
      <c r="D19" s="51" t="n"/>
      <c r="E19" s="51" t="n"/>
      <c r="F19" s="51" t="n"/>
      <c r="G19" s="51">
        <f>C19+D19+E19+F19</f>
        <v/>
      </c>
      <c r="H19" s="51" t="n"/>
      <c r="I19" s="51" t="n"/>
      <c r="J19" s="51" t="n"/>
      <c r="K19" s="51">
        <f>H19+I19+J19+K19</f>
        <v/>
      </c>
      <c r="L19" s="51">
        <f>G19+K19</f>
        <v/>
      </c>
      <c r="M19" s="51">
        <f>L19-L18</f>
        <v/>
      </c>
      <c r="N19" s="67">
        <f>IF(L18=0,0,(L19-L18)/ABS(L18))</f>
        <v/>
      </c>
    </row>
    <row r="20">
      <c r="B20" s="66" t="n">
        <v>46569</v>
      </c>
      <c r="C20" s="51" t="n"/>
      <c r="D20" s="51" t="n"/>
      <c r="E20" s="51" t="n"/>
      <c r="F20" s="51" t="n"/>
      <c r="G20" s="51">
        <f>C20+D20+E20+F20</f>
        <v/>
      </c>
      <c r="H20" s="51" t="n"/>
      <c r="I20" s="51" t="n"/>
      <c r="J20" s="51" t="n"/>
      <c r="K20" s="51">
        <f>H20+I20+J20+K20</f>
        <v/>
      </c>
      <c r="L20" s="51">
        <f>G20+K20</f>
        <v/>
      </c>
      <c r="M20" s="51">
        <f>L20-L19</f>
        <v/>
      </c>
      <c r="N20" s="67">
        <f>IF(L19=0,0,(L20-L19)/ABS(L19))</f>
        <v/>
      </c>
    </row>
    <row r="21">
      <c r="B21" s="66" t="n">
        <v>46600</v>
      </c>
      <c r="C21" s="51" t="n"/>
      <c r="D21" s="51" t="n"/>
      <c r="E21" s="51" t="n"/>
      <c r="F21" s="51" t="n"/>
      <c r="G21" s="51">
        <f>C21+D21+E21+F21</f>
        <v/>
      </c>
      <c r="H21" s="51" t="n"/>
      <c r="I21" s="51" t="n"/>
      <c r="J21" s="51" t="n"/>
      <c r="K21" s="51">
        <f>H21+I21+J21+K21</f>
        <v/>
      </c>
      <c r="L21" s="51">
        <f>G21+K21</f>
        <v/>
      </c>
      <c r="M21" s="51">
        <f>L21-L20</f>
        <v/>
      </c>
      <c r="N21" s="67">
        <f>IF(L20=0,0,(L21-L20)/ABS(L20))</f>
        <v/>
      </c>
    </row>
    <row r="22">
      <c r="B22" s="66" t="n">
        <v>46631</v>
      </c>
      <c r="C22" s="51" t="n"/>
      <c r="D22" s="51" t="n"/>
      <c r="E22" s="51" t="n"/>
      <c r="F22" s="51" t="n"/>
      <c r="G22" s="51">
        <f>C22+D22+E22+F22</f>
        <v/>
      </c>
      <c r="H22" s="51" t="n"/>
      <c r="I22" s="51" t="n"/>
      <c r="J22" s="51" t="n"/>
      <c r="K22" s="51">
        <f>H22+I22+J22+K22</f>
        <v/>
      </c>
      <c r="L22" s="51">
        <f>G22+K22</f>
        <v/>
      </c>
      <c r="M22" s="51">
        <f>L22-L21</f>
        <v/>
      </c>
      <c r="N22" s="67">
        <f>IF(L21=0,0,(L22-L21)/ABS(L21))</f>
        <v/>
      </c>
    </row>
    <row r="23">
      <c r="B23" s="66" t="n">
        <v>46661</v>
      </c>
      <c r="C23" s="51" t="n"/>
      <c r="D23" s="51" t="n"/>
      <c r="E23" s="51" t="n"/>
      <c r="F23" s="51" t="n"/>
      <c r="G23" s="51">
        <f>C23+D23+E23+F23</f>
        <v/>
      </c>
      <c r="H23" s="51" t="n"/>
      <c r="I23" s="51" t="n"/>
      <c r="J23" s="51" t="n"/>
      <c r="K23" s="51">
        <f>H23+I23+J23+K23</f>
        <v/>
      </c>
      <c r="L23" s="51">
        <f>G23+K23</f>
        <v/>
      </c>
      <c r="M23" s="51">
        <f>L23-L22</f>
        <v/>
      </c>
      <c r="N23" s="67">
        <f>IF(L22=0,0,(L23-L22)/ABS(L22))</f>
        <v/>
      </c>
    </row>
    <row r="24">
      <c r="B24" s="66" t="n">
        <v>46692</v>
      </c>
      <c r="C24" s="51" t="n"/>
      <c r="D24" s="51" t="n"/>
      <c r="E24" s="51" t="n"/>
      <c r="F24" s="51" t="n"/>
      <c r="G24" s="51">
        <f>C24+D24+E24+F24</f>
        <v/>
      </c>
      <c r="H24" s="51" t="n"/>
      <c r="I24" s="51" t="n"/>
      <c r="J24" s="51" t="n"/>
      <c r="K24" s="51">
        <f>H24+I24+J24+K24</f>
        <v/>
      </c>
      <c r="L24" s="51">
        <f>G24+K24</f>
        <v/>
      </c>
      <c r="M24" s="51">
        <f>L24-L23</f>
        <v/>
      </c>
      <c r="N24" s="67">
        <f>IF(L23=0,0,(L24-L23)/ABS(L23))</f>
        <v/>
      </c>
    </row>
    <row r="25">
      <c r="B25" s="66" t="n">
        <v>46722</v>
      </c>
      <c r="C25" s="51" t="n"/>
      <c r="D25" s="51" t="n"/>
      <c r="E25" s="51" t="n"/>
      <c r="F25" s="51" t="n"/>
      <c r="G25" s="51">
        <f>C25+D25+E25+F25</f>
        <v/>
      </c>
      <c r="H25" s="51" t="n"/>
      <c r="I25" s="51" t="n"/>
      <c r="J25" s="51" t="n"/>
      <c r="K25" s="51">
        <f>H25+I25+J25+K25</f>
        <v/>
      </c>
      <c r="L25" s="51">
        <f>G25+K25</f>
        <v/>
      </c>
      <c r="M25" s="51">
        <f>L25-L24</f>
        <v/>
      </c>
      <c r="N25" s="67">
        <f>IF(L24=0,0,(L25-L24)/ABS(L24))</f>
        <v/>
      </c>
    </row>
    <row r="26">
      <c r="B26" s="66" t="n">
        <v>46753</v>
      </c>
      <c r="C26" s="51" t="n"/>
      <c r="D26" s="51" t="n"/>
      <c r="E26" s="51" t="n"/>
      <c r="F26" s="51" t="n"/>
      <c r="G26" s="51">
        <f>C26+D26+E26+F26</f>
        <v/>
      </c>
      <c r="H26" s="51" t="n"/>
      <c r="I26" s="51" t="n"/>
      <c r="J26" s="51" t="n"/>
      <c r="K26" s="51">
        <f>H26+I26+J26+K26</f>
        <v/>
      </c>
      <c r="L26" s="51">
        <f>G26+K26</f>
        <v/>
      </c>
      <c r="M26" s="51">
        <f>L26-L25</f>
        <v/>
      </c>
      <c r="N26" s="67">
        <f>IF(L25=0,0,(L26-L25)/ABS(L25))</f>
        <v/>
      </c>
    </row>
    <row r="27">
      <c r="B27" s="66" t="n">
        <v>46784</v>
      </c>
      <c r="C27" s="51" t="n"/>
      <c r="D27" s="51" t="n"/>
      <c r="E27" s="51" t="n"/>
      <c r="F27" s="51" t="n"/>
      <c r="G27" s="51">
        <f>C27+D27+E27+F27</f>
        <v/>
      </c>
      <c r="H27" s="51" t="n"/>
      <c r="I27" s="51" t="n"/>
      <c r="J27" s="51" t="n"/>
      <c r="K27" s="51">
        <f>H27+I27+J27+K27</f>
        <v/>
      </c>
      <c r="L27" s="51">
        <f>G27+K27</f>
        <v/>
      </c>
      <c r="M27" s="51">
        <f>L27-L26</f>
        <v/>
      </c>
      <c r="N27" s="67">
        <f>IF(L26=0,0,(L27-L26)/ABS(L26))</f>
        <v/>
      </c>
    </row>
    <row r="28">
      <c r="B28" s="66" t="n">
        <v>46813</v>
      </c>
      <c r="C28" s="51" t="n"/>
      <c r="D28" s="51" t="n"/>
      <c r="E28" s="51" t="n"/>
      <c r="F28" s="51" t="n"/>
      <c r="G28" s="51">
        <f>C28+D28+E28+F28</f>
        <v/>
      </c>
      <c r="H28" s="51" t="n"/>
      <c r="I28" s="51" t="n"/>
      <c r="J28" s="51" t="n"/>
      <c r="K28" s="51">
        <f>H28+I28+J28+K28</f>
        <v/>
      </c>
      <c r="L28" s="51">
        <f>G28+K28</f>
        <v/>
      </c>
      <c r="M28" s="51">
        <f>L28-L27</f>
        <v/>
      </c>
      <c r="N28" s="67">
        <f>IF(L27=0,0,(L28-L27)/ABS(L27))</f>
        <v/>
      </c>
    </row>
    <row r="29">
      <c r="B29" s="66" t="n">
        <v>46844</v>
      </c>
      <c r="C29" s="51" t="n"/>
      <c r="D29" s="51" t="n"/>
      <c r="E29" s="51" t="n"/>
      <c r="F29" s="51" t="n"/>
      <c r="G29" s="51">
        <f>C29+D29+E29+F29</f>
        <v/>
      </c>
      <c r="H29" s="51" t="n"/>
      <c r="I29" s="51" t="n"/>
      <c r="J29" s="51" t="n"/>
      <c r="K29" s="51">
        <f>H29+I29+J29+K29</f>
        <v/>
      </c>
      <c r="L29" s="51">
        <f>G29+K29</f>
        <v/>
      </c>
      <c r="M29" s="51">
        <f>L29-L28</f>
        <v/>
      </c>
      <c r="N29" s="67">
        <f>IF(L28=0,0,(L29-L28)/ABS(L28))</f>
        <v/>
      </c>
    </row>
    <row r="30">
      <c r="B30" s="66" t="n">
        <v>46874</v>
      </c>
      <c r="C30" s="51" t="n"/>
      <c r="D30" s="51" t="n"/>
      <c r="E30" s="51" t="n"/>
      <c r="F30" s="51" t="n"/>
      <c r="G30" s="51">
        <f>C30+D30+E30+F30</f>
        <v/>
      </c>
      <c r="H30" s="51" t="n"/>
      <c r="I30" s="51" t="n"/>
      <c r="J30" s="51" t="n"/>
      <c r="K30" s="51">
        <f>H30+I30+J30+K30</f>
        <v/>
      </c>
      <c r="L30" s="51">
        <f>G30+K30</f>
        <v/>
      </c>
      <c r="M30" s="51">
        <f>L30-L29</f>
        <v/>
      </c>
      <c r="N30" s="67">
        <f>IF(L29=0,0,(L30-L29)/ABS(L29))</f>
        <v/>
      </c>
    </row>
    <row r="31">
      <c r="B31" s="66" t="n">
        <v>46905</v>
      </c>
      <c r="C31" s="51" t="n"/>
      <c r="D31" s="51" t="n"/>
      <c r="E31" s="51" t="n"/>
      <c r="F31" s="51" t="n"/>
      <c r="G31" s="51">
        <f>C31+D31+E31+F31</f>
        <v/>
      </c>
      <c r="H31" s="51" t="n"/>
      <c r="I31" s="51" t="n"/>
      <c r="J31" s="51" t="n"/>
      <c r="K31" s="51">
        <f>H31+I31+J31+K31</f>
        <v/>
      </c>
      <c r="L31" s="51">
        <f>G31+K31</f>
        <v/>
      </c>
      <c r="M31" s="51">
        <f>L31-L30</f>
        <v/>
      </c>
      <c r="N31" s="67">
        <f>IF(L30=0,0,(L31-L30)/ABS(L30))</f>
        <v/>
      </c>
    </row>
    <row r="32">
      <c r="B32" s="66" t="n">
        <v>46935</v>
      </c>
      <c r="C32" s="51" t="n"/>
      <c r="D32" s="51" t="n"/>
      <c r="E32" s="51" t="n"/>
      <c r="F32" s="51" t="n"/>
      <c r="G32" s="51">
        <f>C32+D32+E32+F32</f>
        <v/>
      </c>
      <c r="H32" s="51" t="n"/>
      <c r="I32" s="51" t="n"/>
      <c r="J32" s="51" t="n"/>
      <c r="K32" s="51">
        <f>H32+I32+J32+K32</f>
        <v/>
      </c>
      <c r="L32" s="51">
        <f>G32+K32</f>
        <v/>
      </c>
      <c r="M32" s="51">
        <f>L32-L31</f>
        <v/>
      </c>
      <c r="N32" s="67">
        <f>IF(L31=0,0,(L32-L31)/ABS(L31))</f>
        <v/>
      </c>
    </row>
    <row r="33">
      <c r="B33" s="66" t="n">
        <v>46966</v>
      </c>
      <c r="C33" s="51" t="n"/>
      <c r="D33" s="51" t="n"/>
      <c r="E33" s="51" t="n"/>
      <c r="F33" s="51" t="n"/>
      <c r="G33" s="51">
        <f>C33+D33+E33+F33</f>
        <v/>
      </c>
      <c r="H33" s="51" t="n"/>
      <c r="I33" s="51" t="n"/>
      <c r="J33" s="51" t="n"/>
      <c r="K33" s="51">
        <f>H33+I33+J33+K33</f>
        <v/>
      </c>
      <c r="L33" s="51">
        <f>G33+K33</f>
        <v/>
      </c>
      <c r="M33" s="51">
        <f>L33-L32</f>
        <v/>
      </c>
      <c r="N33" s="67">
        <f>IF(L32=0,0,(L33-L32)/ABS(L32))</f>
        <v/>
      </c>
    </row>
    <row r="34">
      <c r="B34" s="66" t="n">
        <v>46997</v>
      </c>
      <c r="C34" s="51" t="n"/>
      <c r="D34" s="51" t="n"/>
      <c r="E34" s="51" t="n"/>
      <c r="F34" s="51" t="n"/>
      <c r="G34" s="51">
        <f>C34+D34+E34+F34</f>
        <v/>
      </c>
      <c r="H34" s="51" t="n"/>
      <c r="I34" s="51" t="n"/>
      <c r="J34" s="51" t="n"/>
      <c r="K34" s="51">
        <f>H34+I34+J34+K34</f>
        <v/>
      </c>
      <c r="L34" s="51">
        <f>G34+K34</f>
        <v/>
      </c>
      <c r="M34" s="51">
        <f>L34-L33</f>
        <v/>
      </c>
      <c r="N34" s="67">
        <f>IF(L33=0,0,(L34-L33)/ABS(L33))</f>
        <v/>
      </c>
    </row>
    <row r="35">
      <c r="B35" s="66" t="n">
        <v>47027</v>
      </c>
      <c r="C35" s="51" t="n"/>
      <c r="D35" s="51" t="n"/>
      <c r="E35" s="51" t="n"/>
      <c r="F35" s="51" t="n"/>
      <c r="G35" s="51">
        <f>C35+D35+E35+F35</f>
        <v/>
      </c>
      <c r="H35" s="51" t="n"/>
      <c r="I35" s="51" t="n"/>
      <c r="J35" s="51" t="n"/>
      <c r="K35" s="51">
        <f>H35+I35+J35+K35</f>
        <v/>
      </c>
      <c r="L35" s="51">
        <f>G35+K35</f>
        <v/>
      </c>
      <c r="M35" s="51">
        <f>L35-L34</f>
        <v/>
      </c>
      <c r="N35" s="67">
        <f>IF(L34=0,0,(L35-L34)/ABS(L34))</f>
        <v/>
      </c>
    </row>
    <row r="36">
      <c r="B36" s="66" t="n">
        <v>47058</v>
      </c>
      <c r="C36" s="51" t="n"/>
      <c r="D36" s="51" t="n"/>
      <c r="E36" s="51" t="n"/>
      <c r="F36" s="51" t="n"/>
      <c r="G36" s="51">
        <f>C36+D36+E36+F36</f>
        <v/>
      </c>
      <c r="H36" s="51" t="n"/>
      <c r="I36" s="51" t="n"/>
      <c r="J36" s="51" t="n"/>
      <c r="K36" s="51">
        <f>H36+I36+J36+K36</f>
        <v/>
      </c>
      <c r="L36" s="51">
        <f>G36+K36</f>
        <v/>
      </c>
      <c r="M36" s="51">
        <f>L36-L35</f>
        <v/>
      </c>
      <c r="N36" s="67">
        <f>IF(L35=0,0,(L36-L35)/ABS(L35))</f>
        <v/>
      </c>
    </row>
    <row r="37">
      <c r="B37" s="66" t="n">
        <v>47088</v>
      </c>
      <c r="C37" s="51" t="n"/>
      <c r="D37" s="51" t="n"/>
      <c r="E37" s="51" t="n"/>
      <c r="F37" s="51" t="n"/>
      <c r="G37" s="51">
        <f>C37+D37+E37+F37</f>
        <v/>
      </c>
      <c r="H37" s="51" t="n"/>
      <c r="I37" s="51" t="n"/>
      <c r="J37" s="51" t="n"/>
      <c r="K37" s="51">
        <f>H37+I37+J37+K37</f>
        <v/>
      </c>
      <c r="L37" s="51">
        <f>G37+K37</f>
        <v/>
      </c>
      <c r="M37" s="51">
        <f>L37-L36</f>
        <v/>
      </c>
      <c r="N37" s="67">
        <f>IF(L36=0,0,(L37-L36)/ABS(L36))</f>
        <v/>
      </c>
    </row>
    <row r="39">
      <c r="B39" s="15" t="inlineStr">
        <is>
          <t xml:space="preserve">  ※ C~F(민엽), H~K(현지)열에 매월 말 잔액 입력. 순자산·전월비·변동률은 자동 계산.</t>
        </is>
      </c>
    </row>
    <row r="40">
      <c r="B40" s="15" t="inlineStr">
        <is>
          <t xml:space="preserve">  ※ 민엽 부채(어머니 차용금 1억600만)는 순자산에서 별도 차감하세요.</t>
        </is>
      </c>
    </row>
  </sheetData>
  <mergeCells count="5">
    <mergeCell ref="H4:K4"/>
    <mergeCell ref="C4:G4"/>
    <mergeCell ref="B4:B5"/>
    <mergeCell ref="L4:N4"/>
    <mergeCell ref="B2:N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41"/>
  <sheetViews>
    <sheetView showGridLines="0" workbookViewId="0">
      <selection activeCell="B2" sqref="B2:N2"/>
    </sheetView>
  </sheetViews>
  <sheetFormatPr baseColWidth="8" defaultRowHeight="18"/>
  <cols>
    <col width="2" customWidth="1" style="47" min="1" max="1"/>
    <col width="9" customWidth="1" style="47" min="2" max="2"/>
    <col width="11" customWidth="1" style="47" min="3" max="12"/>
    <col width="13" customWidth="1" style="47" min="13" max="13"/>
    <col width="16" customWidth="1" style="47" min="14" max="14"/>
    <col width="9" customWidth="1" style="47" min="15" max="15"/>
    <col width="9" customWidth="1" style="47" min="16" max="16384"/>
  </cols>
  <sheetData>
    <row r="2" ht="36" customHeight="1">
      <c r="B2" s="39" t="inlineStr">
        <is>
          <t xml:space="preserve">  민엽 월별 지출 가계부</t>
        </is>
      </c>
    </row>
    <row r="3" ht="15.95" customHeight="1">
      <c r="B3" s="15" t="inlineStr">
        <is>
          <t xml:space="preserve">  각 카테고리별 지출을 입력하세요. 합계는 자동 계산 → 월별저축 시트에 자동 반영됩니다.</t>
        </is>
      </c>
    </row>
    <row r="4">
      <c r="B4" s="40" t="inlineStr">
        <is>
          <t>월</t>
        </is>
      </c>
      <c r="C4" s="40" t="inlineStr">
        <is>
          <t>식비/외식</t>
        </is>
      </c>
      <c r="D4" s="40" t="inlineStr">
        <is>
          <t>교통/주유</t>
        </is>
      </c>
      <c r="E4" s="40" t="inlineStr">
        <is>
          <t>통신/구독</t>
        </is>
      </c>
      <c r="F4" s="40" t="inlineStr">
        <is>
          <t>쇼핑/의류</t>
        </is>
      </c>
      <c r="G4" s="40" t="inlineStr">
        <is>
          <t>여가/취미</t>
        </is>
      </c>
      <c r="H4" s="40" t="inlineStr">
        <is>
          <t>의료/건강</t>
        </is>
      </c>
      <c r="I4" s="40" t="inlineStr">
        <is>
          <t>경조사</t>
        </is>
      </c>
      <c r="J4" s="40" t="inlineStr">
        <is>
          <t>고정지출</t>
        </is>
      </c>
      <c r="K4" s="40" t="inlineStr">
        <is>
          <t>부모님/용돈</t>
        </is>
      </c>
      <c r="L4" s="40" t="inlineStr">
        <is>
          <t>기타</t>
        </is>
      </c>
      <c r="M4" s="40" t="inlineStr">
        <is>
          <t>월 합계</t>
        </is>
      </c>
      <c r="N4" s="40" t="inlineStr">
        <is>
          <t>메모</t>
        </is>
      </c>
    </row>
    <row r="5">
      <c r="B5" s="66" t="n">
        <v>46143</v>
      </c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>
        <f>SUM(C5:L5)</f>
        <v/>
      </c>
      <c r="N5" s="35" t="n"/>
    </row>
    <row r="6">
      <c r="B6" s="66" t="n">
        <v>46174</v>
      </c>
      <c r="C6" s="51" t="n"/>
      <c r="D6" s="51" t="n"/>
      <c r="E6" s="51" t="n"/>
      <c r="F6" s="51" t="n"/>
      <c r="G6" s="51" t="n"/>
      <c r="H6" s="51" t="n"/>
      <c r="I6" s="51" t="n"/>
      <c r="J6" s="51" t="n"/>
      <c r="K6" s="51" t="n"/>
      <c r="L6" s="51" t="n"/>
      <c r="M6" s="51">
        <f>SUM(C6:L6)</f>
        <v/>
      </c>
      <c r="N6" s="35" t="n"/>
    </row>
    <row r="7">
      <c r="B7" s="66" t="n">
        <v>46204</v>
      </c>
      <c r="C7" s="51" t="n"/>
      <c r="D7" s="51" t="n"/>
      <c r="E7" s="51" t="n"/>
      <c r="F7" s="51" t="n"/>
      <c r="G7" s="51" t="n"/>
      <c r="H7" s="51" t="n"/>
      <c r="I7" s="51" t="n"/>
      <c r="J7" s="51" t="n"/>
      <c r="K7" s="51" t="n"/>
      <c r="L7" s="51" t="n"/>
      <c r="M7" s="51">
        <f>SUM(C7:L7)</f>
        <v/>
      </c>
      <c r="N7" s="35" t="n"/>
    </row>
    <row r="8">
      <c r="B8" s="66" t="n">
        <v>46235</v>
      </c>
      <c r="C8" s="51" t="n"/>
      <c r="D8" s="51" t="n"/>
      <c r="E8" s="51" t="n"/>
      <c r="F8" s="51" t="n"/>
      <c r="G8" s="51" t="n"/>
      <c r="H8" s="51" t="n"/>
      <c r="I8" s="51" t="n"/>
      <c r="J8" s="51" t="n"/>
      <c r="K8" s="51" t="n"/>
      <c r="L8" s="51" t="n"/>
      <c r="M8" s="51">
        <f>SUM(C8:L8)</f>
        <v/>
      </c>
      <c r="N8" s="35" t="n"/>
    </row>
    <row r="9">
      <c r="B9" s="66" t="n">
        <v>46266</v>
      </c>
      <c r="C9" s="51" t="n"/>
      <c r="D9" s="51" t="n"/>
      <c r="E9" s="51" t="n"/>
      <c r="F9" s="51" t="n"/>
      <c r="G9" s="51" t="n"/>
      <c r="H9" s="51" t="n"/>
      <c r="I9" s="51" t="n"/>
      <c r="J9" s="51" t="n"/>
      <c r="K9" s="51" t="n"/>
      <c r="L9" s="51" t="n"/>
      <c r="M9" s="51">
        <f>SUM(C9:L9)</f>
        <v/>
      </c>
      <c r="N9" s="35" t="n"/>
    </row>
    <row r="10">
      <c r="B10" s="66" t="n">
        <v>46296</v>
      </c>
      <c r="C10" s="51" t="n"/>
      <c r="D10" s="51" t="n"/>
      <c r="E10" s="51" t="n"/>
      <c r="F10" s="51" t="n"/>
      <c r="G10" s="51" t="n"/>
      <c r="H10" s="51" t="n"/>
      <c r="I10" s="51" t="n"/>
      <c r="J10" s="51" t="n"/>
      <c r="K10" s="51" t="n"/>
      <c r="L10" s="51" t="n"/>
      <c r="M10" s="51">
        <f>SUM(C10:L10)</f>
        <v/>
      </c>
      <c r="N10" s="35" t="n"/>
    </row>
    <row r="11">
      <c r="B11" s="66" t="n">
        <v>46327</v>
      </c>
      <c r="C11" s="51" t="n"/>
      <c r="D11" s="51" t="n"/>
      <c r="E11" s="51" t="n"/>
      <c r="F11" s="51" t="n"/>
      <c r="G11" s="51" t="n"/>
      <c r="H11" s="51" t="n"/>
      <c r="I11" s="51" t="n"/>
      <c r="J11" s="51" t="n"/>
      <c r="K11" s="51" t="n"/>
      <c r="L11" s="51" t="n"/>
      <c r="M11" s="51">
        <f>SUM(C11:L11)</f>
        <v/>
      </c>
      <c r="N11" s="35" t="n"/>
    </row>
    <row r="12">
      <c r="B12" s="66" t="n">
        <v>46357</v>
      </c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  <c r="L12" s="51" t="n"/>
      <c r="M12" s="51">
        <f>SUM(C12:L12)</f>
        <v/>
      </c>
      <c r="N12" s="35" t="n"/>
    </row>
    <row r="13">
      <c r="B13" s="66" t="n">
        <v>46388</v>
      </c>
      <c r="C13" s="51" t="n"/>
      <c r="D13" s="51" t="n"/>
      <c r="E13" s="51" t="n"/>
      <c r="F13" s="51" t="n"/>
      <c r="G13" s="51" t="n"/>
      <c r="H13" s="51" t="n"/>
      <c r="I13" s="51" t="n"/>
      <c r="J13" s="51" t="n"/>
      <c r="K13" s="51" t="n"/>
      <c r="L13" s="51" t="n"/>
      <c r="M13" s="51">
        <f>SUM(C13:L13)</f>
        <v/>
      </c>
      <c r="N13" s="35" t="n"/>
    </row>
    <row r="14">
      <c r="B14" s="66" t="n">
        <v>46419</v>
      </c>
      <c r="C14" s="51" t="n"/>
      <c r="D14" s="51" t="n"/>
      <c r="E14" s="51" t="n"/>
      <c r="F14" s="51" t="n"/>
      <c r="G14" s="51" t="n"/>
      <c r="H14" s="51" t="n"/>
      <c r="I14" s="51" t="n"/>
      <c r="J14" s="51" t="n"/>
      <c r="K14" s="51" t="n"/>
      <c r="L14" s="51" t="n"/>
      <c r="M14" s="51">
        <f>SUM(C14:L14)</f>
        <v/>
      </c>
      <c r="N14" s="35" t="n"/>
    </row>
    <row r="15">
      <c r="B15" s="66" t="n">
        <v>46447</v>
      </c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  <c r="L15" s="51" t="n"/>
      <c r="M15" s="51">
        <f>SUM(C15:L15)</f>
        <v/>
      </c>
      <c r="N15" s="35" t="n"/>
    </row>
    <row r="16">
      <c r="B16" s="66" t="n">
        <v>46478</v>
      </c>
      <c r="C16" s="51" t="n"/>
      <c r="D16" s="51" t="n"/>
      <c r="E16" s="51" t="n"/>
      <c r="F16" s="51" t="n"/>
      <c r="G16" s="51" t="n"/>
      <c r="H16" s="51" t="n"/>
      <c r="I16" s="51" t="n"/>
      <c r="J16" s="51" t="n"/>
      <c r="K16" s="51" t="n"/>
      <c r="L16" s="51" t="n"/>
      <c r="M16" s="51">
        <f>SUM(C16:L16)</f>
        <v/>
      </c>
      <c r="N16" s="35" t="n"/>
    </row>
    <row r="17">
      <c r="B17" s="66" t="n">
        <v>46508</v>
      </c>
      <c r="C17" s="51" t="n"/>
      <c r="D17" s="51" t="n"/>
      <c r="E17" s="51" t="n"/>
      <c r="F17" s="51" t="n"/>
      <c r="G17" s="51" t="n"/>
      <c r="H17" s="51" t="n"/>
      <c r="I17" s="51" t="n"/>
      <c r="J17" s="51" t="n"/>
      <c r="K17" s="51" t="n"/>
      <c r="L17" s="51" t="n"/>
      <c r="M17" s="51">
        <f>SUM(C17:L17)</f>
        <v/>
      </c>
      <c r="N17" s="35" t="n"/>
    </row>
    <row r="18">
      <c r="B18" s="66" t="n">
        <v>46539</v>
      </c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  <c r="L18" s="51" t="n"/>
      <c r="M18" s="51">
        <f>SUM(C18:L18)</f>
        <v/>
      </c>
      <c r="N18" s="35" t="n"/>
    </row>
    <row r="19">
      <c r="B19" s="66" t="n">
        <v>46569</v>
      </c>
      <c r="C19" s="51" t="n"/>
      <c r="D19" s="51" t="n"/>
      <c r="E19" s="51" t="n"/>
      <c r="F19" s="51" t="n"/>
      <c r="G19" s="51" t="n"/>
      <c r="H19" s="51" t="n"/>
      <c r="I19" s="51" t="n"/>
      <c r="J19" s="51" t="n"/>
      <c r="K19" s="51" t="n"/>
      <c r="L19" s="51" t="n"/>
      <c r="M19" s="51">
        <f>SUM(C19:L19)</f>
        <v/>
      </c>
      <c r="N19" s="35" t="n"/>
    </row>
    <row r="20">
      <c r="B20" s="66" t="n">
        <v>46600</v>
      </c>
      <c r="C20" s="51" t="n"/>
      <c r="D20" s="51" t="n"/>
      <c r="E20" s="51" t="n"/>
      <c r="F20" s="51" t="n"/>
      <c r="G20" s="51" t="n"/>
      <c r="H20" s="51" t="n"/>
      <c r="I20" s="51" t="n"/>
      <c r="J20" s="51" t="n"/>
      <c r="K20" s="51" t="n"/>
      <c r="L20" s="51" t="n"/>
      <c r="M20" s="51">
        <f>SUM(C20:L20)</f>
        <v/>
      </c>
      <c r="N20" s="35" t="n"/>
    </row>
    <row r="21">
      <c r="B21" s="66" t="n">
        <v>46631</v>
      </c>
      <c r="C21" s="51" t="n"/>
      <c r="D21" s="51" t="n"/>
      <c r="E21" s="51" t="n"/>
      <c r="F21" s="51" t="n"/>
      <c r="G21" s="51" t="n"/>
      <c r="H21" s="51" t="n"/>
      <c r="I21" s="51" t="n"/>
      <c r="J21" s="51" t="n"/>
      <c r="K21" s="51" t="n"/>
      <c r="L21" s="51" t="n"/>
      <c r="M21" s="51">
        <f>SUM(C21:L21)</f>
        <v/>
      </c>
      <c r="N21" s="35" t="n"/>
    </row>
    <row r="22">
      <c r="B22" s="66" t="n">
        <v>46661</v>
      </c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>
        <f>SUM(C22:L22)</f>
        <v/>
      </c>
      <c r="N22" s="35" t="n"/>
    </row>
    <row r="23">
      <c r="B23" s="66" t="n">
        <v>46692</v>
      </c>
      <c r="C23" s="51" t="n"/>
      <c r="D23" s="51" t="n"/>
      <c r="E23" s="51" t="n"/>
      <c r="F23" s="51" t="n"/>
      <c r="G23" s="51" t="n"/>
      <c r="H23" s="51" t="n"/>
      <c r="I23" s="51" t="n"/>
      <c r="J23" s="51" t="n"/>
      <c r="K23" s="51" t="n"/>
      <c r="L23" s="51" t="n"/>
      <c r="M23" s="51">
        <f>SUM(C23:L23)</f>
        <v/>
      </c>
      <c r="N23" s="35" t="n"/>
    </row>
    <row r="24">
      <c r="B24" s="66" t="n">
        <v>46722</v>
      </c>
      <c r="C24" s="51" t="n"/>
      <c r="D24" s="51" t="n"/>
      <c r="E24" s="51" t="n"/>
      <c r="F24" s="51" t="n"/>
      <c r="G24" s="51" t="n"/>
      <c r="H24" s="51" t="n"/>
      <c r="I24" s="51" t="n"/>
      <c r="J24" s="51" t="n"/>
      <c r="K24" s="51" t="n"/>
      <c r="L24" s="51" t="n"/>
      <c r="M24" s="51">
        <f>SUM(C24:L24)</f>
        <v/>
      </c>
      <c r="N24" s="35" t="n"/>
    </row>
    <row r="25">
      <c r="B25" s="66" t="n">
        <v>46753</v>
      </c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  <c r="L25" s="51" t="n"/>
      <c r="M25" s="51">
        <f>SUM(C25:L25)</f>
        <v/>
      </c>
      <c r="N25" s="35" t="n"/>
    </row>
    <row r="26">
      <c r="B26" s="66" t="n">
        <v>46784</v>
      </c>
      <c r="C26" s="51" t="n"/>
      <c r="D26" s="51" t="n"/>
      <c r="E26" s="51" t="n"/>
      <c r="F26" s="51" t="n"/>
      <c r="G26" s="51" t="n"/>
      <c r="H26" s="51" t="n"/>
      <c r="I26" s="51" t="n"/>
      <c r="J26" s="51" t="n"/>
      <c r="K26" s="51" t="n"/>
      <c r="L26" s="51" t="n"/>
      <c r="M26" s="51">
        <f>SUM(C26:L26)</f>
        <v/>
      </c>
      <c r="N26" s="35" t="n"/>
    </row>
    <row r="27">
      <c r="B27" s="66" t="n">
        <v>46813</v>
      </c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>
        <f>SUM(C27:L27)</f>
        <v/>
      </c>
      <c r="N27" s="35" t="n"/>
    </row>
    <row r="28">
      <c r="B28" s="66" t="n">
        <v>46844</v>
      </c>
      <c r="C28" s="51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>
        <f>SUM(C28:L28)</f>
        <v/>
      </c>
      <c r="N28" s="35" t="n"/>
    </row>
    <row r="29">
      <c r="B29" s="66" t="n">
        <v>46874</v>
      </c>
      <c r="C29" s="51" t="n"/>
      <c r="D29" s="51" t="n"/>
      <c r="E29" s="51" t="n"/>
      <c r="F29" s="51" t="n"/>
      <c r="G29" s="51" t="n"/>
      <c r="H29" s="51" t="n"/>
      <c r="I29" s="51" t="n"/>
      <c r="J29" s="51" t="n"/>
      <c r="K29" s="51" t="n"/>
      <c r="L29" s="51" t="n"/>
      <c r="M29" s="51">
        <f>SUM(C29:L29)</f>
        <v/>
      </c>
      <c r="N29" s="35" t="n"/>
    </row>
    <row r="30">
      <c r="B30" s="66" t="n">
        <v>46905</v>
      </c>
      <c r="C30" s="51" t="n"/>
      <c r="D30" s="51" t="n"/>
      <c r="E30" s="51" t="n"/>
      <c r="F30" s="51" t="n"/>
      <c r="G30" s="51" t="n"/>
      <c r="H30" s="51" t="n"/>
      <c r="I30" s="51" t="n"/>
      <c r="J30" s="51" t="n"/>
      <c r="K30" s="51" t="n"/>
      <c r="L30" s="51" t="n"/>
      <c r="M30" s="51">
        <f>SUM(C30:L30)</f>
        <v/>
      </c>
      <c r="N30" s="35" t="n"/>
    </row>
    <row r="31">
      <c r="B31" s="66" t="n">
        <v>46935</v>
      </c>
      <c r="C31" s="51" t="n"/>
      <c r="D31" s="51" t="n"/>
      <c r="E31" s="51" t="n"/>
      <c r="F31" s="51" t="n"/>
      <c r="G31" s="51" t="n"/>
      <c r="H31" s="51" t="n"/>
      <c r="I31" s="51" t="n"/>
      <c r="J31" s="51" t="n"/>
      <c r="K31" s="51" t="n"/>
      <c r="L31" s="51" t="n"/>
      <c r="M31" s="51">
        <f>SUM(C31:L31)</f>
        <v/>
      </c>
      <c r="N31" s="35" t="n"/>
    </row>
    <row r="32">
      <c r="B32" s="66" t="n">
        <v>46966</v>
      </c>
      <c r="C32" s="51" t="n"/>
      <c r="D32" s="51" t="n"/>
      <c r="E32" s="51" t="n"/>
      <c r="F32" s="51" t="n"/>
      <c r="G32" s="51" t="n"/>
      <c r="H32" s="51" t="n"/>
      <c r="I32" s="51" t="n"/>
      <c r="J32" s="51" t="n"/>
      <c r="K32" s="51" t="n"/>
      <c r="L32" s="51" t="n"/>
      <c r="M32" s="51">
        <f>SUM(C32:L32)</f>
        <v/>
      </c>
      <c r="N32" s="35" t="n"/>
    </row>
    <row r="33">
      <c r="B33" s="66" t="n">
        <v>46997</v>
      </c>
      <c r="C33" s="51" t="n"/>
      <c r="D33" s="51" t="n"/>
      <c r="E33" s="51" t="n"/>
      <c r="F33" s="51" t="n"/>
      <c r="G33" s="51" t="n"/>
      <c r="H33" s="51" t="n"/>
      <c r="I33" s="51" t="n"/>
      <c r="J33" s="51" t="n"/>
      <c r="K33" s="51" t="n"/>
      <c r="L33" s="51" t="n"/>
      <c r="M33" s="51">
        <f>SUM(C33:L33)</f>
        <v/>
      </c>
      <c r="N33" s="35" t="n"/>
    </row>
    <row r="34">
      <c r="B34" s="66" t="n">
        <v>47027</v>
      </c>
      <c r="C34" s="51" t="n"/>
      <c r="D34" s="51" t="n"/>
      <c r="E34" s="51" t="n"/>
      <c r="F34" s="51" t="n"/>
      <c r="G34" s="51" t="n"/>
      <c r="H34" s="51" t="n"/>
      <c r="I34" s="51" t="n"/>
      <c r="J34" s="51" t="n"/>
      <c r="K34" s="51" t="n"/>
      <c r="L34" s="51" t="n"/>
      <c r="M34" s="51">
        <f>SUM(C34:L34)</f>
        <v/>
      </c>
      <c r="N34" s="35" t="n"/>
    </row>
    <row r="35">
      <c r="B35" s="66" t="n">
        <v>47058</v>
      </c>
      <c r="C35" s="51" t="n"/>
      <c r="D35" s="51" t="n"/>
      <c r="E35" s="51" t="n"/>
      <c r="F35" s="51" t="n"/>
      <c r="G35" s="51" t="n"/>
      <c r="H35" s="51" t="n"/>
      <c r="I35" s="51" t="n"/>
      <c r="J35" s="51" t="n"/>
      <c r="K35" s="51" t="n"/>
      <c r="L35" s="51" t="n"/>
      <c r="M35" s="51">
        <f>SUM(C35:L35)</f>
        <v/>
      </c>
      <c r="N35" s="35" t="n"/>
    </row>
    <row r="36">
      <c r="B36" s="66" t="n">
        <v>47088</v>
      </c>
      <c r="C36" s="51" t="n"/>
      <c r="D36" s="51" t="n"/>
      <c r="E36" s="51" t="n"/>
      <c r="F36" s="51" t="n"/>
      <c r="G36" s="51" t="n"/>
      <c r="H36" s="51" t="n"/>
      <c r="I36" s="51" t="n"/>
      <c r="J36" s="51" t="n"/>
      <c r="K36" s="51" t="n"/>
      <c r="L36" s="51" t="n"/>
      <c r="M36" s="51">
        <f>SUM(C36:L36)</f>
        <v/>
      </c>
      <c r="N36" s="35" t="n"/>
    </row>
    <row r="38" ht="21.95" customHeight="1">
      <c r="B38" s="38" t="inlineStr">
        <is>
          <t>카테고리별 합계</t>
        </is>
      </c>
    </row>
    <row r="39" ht="20.1" customHeight="1">
      <c r="B39" s="32" t="inlineStr">
        <is>
          <t>전체 합계</t>
        </is>
      </c>
      <c r="C39" s="59">
        <f>SUM(C5:C36)</f>
        <v/>
      </c>
      <c r="D39" s="59">
        <f>SUM(D5:D36)</f>
        <v/>
      </c>
      <c r="E39" s="59">
        <f>SUM(E5:E36)</f>
        <v/>
      </c>
      <c r="F39" s="59">
        <f>SUM(F5:F36)</f>
        <v/>
      </c>
      <c r="G39" s="59">
        <f>SUM(G5:G36)</f>
        <v/>
      </c>
      <c r="H39" s="59">
        <f>SUM(H5:H36)</f>
        <v/>
      </c>
      <c r="I39" s="59">
        <f>SUM(I5:I36)</f>
        <v/>
      </c>
      <c r="J39" s="59">
        <f>SUM(J5:J36)</f>
        <v/>
      </c>
      <c r="K39" s="59">
        <f>SUM(K5:K36)</f>
        <v/>
      </c>
      <c r="L39" s="59">
        <f>SUM(L5:L36)</f>
        <v/>
      </c>
      <c r="M39" s="59">
        <f>SUM(M5:M36)</f>
        <v/>
      </c>
    </row>
    <row r="41">
      <c r="B41" s="15" t="inlineStr">
        <is>
          <t xml:space="preserve">  ※ 각 셀에 숫자만 입력. 월 합계는 자동 계산.</t>
        </is>
      </c>
    </row>
  </sheetData>
  <mergeCells count="2">
    <mergeCell ref="B38:N38"/>
    <mergeCell ref="B2:N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41"/>
  <sheetViews>
    <sheetView showGridLines="0" workbookViewId="0">
      <selection activeCell="F45" sqref="F45"/>
    </sheetView>
  </sheetViews>
  <sheetFormatPr baseColWidth="8" defaultRowHeight="18"/>
  <cols>
    <col width="2" customWidth="1" style="47" min="1" max="1"/>
    <col width="9" customWidth="1" style="47" min="2" max="2"/>
    <col width="11" customWidth="1" style="47" min="3" max="12"/>
    <col width="13" customWidth="1" style="47" min="13" max="13"/>
    <col width="16" customWidth="1" style="47" min="14" max="14"/>
    <col width="9" customWidth="1" style="47" min="15" max="15"/>
    <col width="9" customWidth="1" style="47" min="16" max="16384"/>
  </cols>
  <sheetData>
    <row r="2" ht="36" customHeight="1">
      <c r="B2" s="39" t="inlineStr">
        <is>
          <t xml:space="preserve">  현지 월별 지출 가계부</t>
        </is>
      </c>
    </row>
    <row r="3" ht="15.95" customHeight="1">
      <c r="B3" s="15" t="inlineStr">
        <is>
          <t xml:space="preserve">  각 카테고리별 지출을 입력하세요. 합계는 자동 계산 → 월별저축 시트에 자동 반영됩니다.</t>
        </is>
      </c>
    </row>
    <row r="4">
      <c r="B4" s="40" t="inlineStr">
        <is>
          <t>월</t>
        </is>
      </c>
      <c r="C4" s="40" t="inlineStr">
        <is>
          <t>식비/외식</t>
        </is>
      </c>
      <c r="D4" s="40" t="inlineStr">
        <is>
          <t>교통/주유</t>
        </is>
      </c>
      <c r="E4" s="40" t="inlineStr">
        <is>
          <t>통신/구독</t>
        </is>
      </c>
      <c r="F4" s="40" t="inlineStr">
        <is>
          <t>쇼핑/의류</t>
        </is>
      </c>
      <c r="G4" s="40" t="inlineStr">
        <is>
          <t>여가/취미</t>
        </is>
      </c>
      <c r="H4" s="40" t="inlineStr">
        <is>
          <t>의료/건강</t>
        </is>
      </c>
      <c r="I4" s="40" t="inlineStr">
        <is>
          <t>경조사</t>
        </is>
      </c>
      <c r="J4" s="40" t="inlineStr">
        <is>
          <t>고정지출</t>
        </is>
      </c>
      <c r="K4" s="40" t="inlineStr">
        <is>
          <t>부모님/용돈</t>
        </is>
      </c>
      <c r="L4" s="40" t="inlineStr">
        <is>
          <t>기타</t>
        </is>
      </c>
      <c r="M4" s="40" t="inlineStr">
        <is>
          <t>월 합계</t>
        </is>
      </c>
      <c r="N4" s="40" t="inlineStr">
        <is>
          <t>메모</t>
        </is>
      </c>
    </row>
    <row r="5">
      <c r="B5" s="66" t="n">
        <v>46143</v>
      </c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>
        <f>SUM(C5:L5)</f>
        <v/>
      </c>
      <c r="N5" s="35" t="n"/>
    </row>
    <row r="6">
      <c r="B6" s="66" t="n">
        <v>46174</v>
      </c>
      <c r="C6" s="51" t="n"/>
      <c r="D6" s="51" t="n"/>
      <c r="E6" s="51" t="n"/>
      <c r="F6" s="51" t="n"/>
      <c r="G6" s="51" t="n"/>
      <c r="H6" s="51" t="n"/>
      <c r="I6" s="51" t="n"/>
      <c r="J6" s="51" t="n"/>
      <c r="K6" s="51" t="n"/>
      <c r="L6" s="51" t="n"/>
      <c r="M6" s="51">
        <f>SUM(C6:L6)</f>
        <v/>
      </c>
      <c r="N6" s="35" t="n"/>
    </row>
    <row r="7">
      <c r="B7" s="66" t="n">
        <v>46204</v>
      </c>
      <c r="C7" s="51" t="n"/>
      <c r="D7" s="51" t="n"/>
      <c r="E7" s="51" t="n"/>
      <c r="F7" s="51" t="n"/>
      <c r="G7" s="51" t="n"/>
      <c r="H7" s="51" t="n"/>
      <c r="I7" s="51" t="n"/>
      <c r="J7" s="51" t="n"/>
      <c r="K7" s="51" t="n"/>
      <c r="L7" s="51" t="n"/>
      <c r="M7" s="51">
        <f>SUM(C7:L7)</f>
        <v/>
      </c>
      <c r="N7" s="35" t="n"/>
    </row>
    <row r="8">
      <c r="B8" s="66" t="n">
        <v>46235</v>
      </c>
      <c r="C8" s="51" t="n"/>
      <c r="D8" s="51" t="n"/>
      <c r="E8" s="51" t="n"/>
      <c r="F8" s="51" t="n"/>
      <c r="G8" s="51" t="n"/>
      <c r="H8" s="51" t="n"/>
      <c r="I8" s="51" t="n"/>
      <c r="J8" s="51" t="n"/>
      <c r="K8" s="51" t="n"/>
      <c r="L8" s="51" t="n"/>
      <c r="M8" s="51">
        <f>SUM(C8:L8)</f>
        <v/>
      </c>
      <c r="N8" s="35" t="n"/>
    </row>
    <row r="9">
      <c r="B9" s="66" t="n">
        <v>46266</v>
      </c>
      <c r="C9" s="51" t="n"/>
      <c r="D9" s="51" t="n"/>
      <c r="E9" s="51" t="n"/>
      <c r="F9" s="51" t="n"/>
      <c r="G9" s="51" t="n"/>
      <c r="H9" s="51" t="n"/>
      <c r="I9" s="51" t="n"/>
      <c r="J9" s="51" t="n"/>
      <c r="K9" s="51" t="n"/>
      <c r="L9" s="51" t="n"/>
      <c r="M9" s="51">
        <f>SUM(C9:L9)</f>
        <v/>
      </c>
      <c r="N9" s="35" t="n"/>
    </row>
    <row r="10">
      <c r="B10" s="66" t="n">
        <v>46296</v>
      </c>
      <c r="C10" s="51" t="n"/>
      <c r="D10" s="51" t="n"/>
      <c r="E10" s="51" t="n"/>
      <c r="F10" s="51" t="n"/>
      <c r="G10" s="51" t="n"/>
      <c r="H10" s="51" t="n"/>
      <c r="I10" s="51" t="n"/>
      <c r="J10" s="51" t="n"/>
      <c r="K10" s="51" t="n"/>
      <c r="L10" s="51" t="n"/>
      <c r="M10" s="51">
        <f>SUM(C10:L10)</f>
        <v/>
      </c>
      <c r="N10" s="35" t="n"/>
    </row>
    <row r="11">
      <c r="B11" s="66" t="n">
        <v>46327</v>
      </c>
      <c r="C11" s="51" t="n"/>
      <c r="D11" s="51" t="n"/>
      <c r="E11" s="51" t="n"/>
      <c r="F11" s="51" t="n"/>
      <c r="G11" s="51" t="n"/>
      <c r="H11" s="51" t="n"/>
      <c r="I11" s="51" t="n"/>
      <c r="J11" s="51" t="n"/>
      <c r="K11" s="51" t="n"/>
      <c r="L11" s="51" t="n"/>
      <c r="M11" s="51">
        <f>SUM(C11:L11)</f>
        <v/>
      </c>
      <c r="N11" s="35" t="n"/>
    </row>
    <row r="12">
      <c r="B12" s="66" t="n">
        <v>46357</v>
      </c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  <c r="L12" s="51" t="n"/>
      <c r="M12" s="51">
        <f>SUM(C12:L12)</f>
        <v/>
      </c>
      <c r="N12" s="35" t="n"/>
    </row>
    <row r="13">
      <c r="B13" s="66" t="n">
        <v>46388</v>
      </c>
      <c r="C13" s="51" t="n"/>
      <c r="D13" s="51" t="n"/>
      <c r="E13" s="51" t="n"/>
      <c r="F13" s="51" t="n"/>
      <c r="G13" s="51" t="n"/>
      <c r="H13" s="51" t="n"/>
      <c r="I13" s="51" t="n"/>
      <c r="J13" s="51" t="n"/>
      <c r="K13" s="51" t="n"/>
      <c r="L13" s="51" t="n"/>
      <c r="M13" s="51">
        <f>SUM(C13:L13)</f>
        <v/>
      </c>
      <c r="N13" s="35" t="n"/>
    </row>
    <row r="14">
      <c r="B14" s="66" t="n">
        <v>46419</v>
      </c>
      <c r="C14" s="51" t="n"/>
      <c r="D14" s="51" t="n"/>
      <c r="E14" s="51" t="n"/>
      <c r="F14" s="51" t="n"/>
      <c r="G14" s="51" t="n"/>
      <c r="H14" s="51" t="n"/>
      <c r="I14" s="51" t="n"/>
      <c r="J14" s="51" t="n"/>
      <c r="K14" s="51" t="n"/>
      <c r="L14" s="51" t="n"/>
      <c r="M14" s="51">
        <f>SUM(C14:L14)</f>
        <v/>
      </c>
      <c r="N14" s="35" t="n"/>
    </row>
    <row r="15">
      <c r="B15" s="66" t="n">
        <v>46447</v>
      </c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  <c r="L15" s="51" t="n"/>
      <c r="M15" s="51">
        <f>SUM(C15:L15)</f>
        <v/>
      </c>
      <c r="N15" s="35" t="n"/>
    </row>
    <row r="16">
      <c r="B16" s="66" t="n">
        <v>46478</v>
      </c>
      <c r="C16" s="51" t="n"/>
      <c r="D16" s="51" t="n"/>
      <c r="E16" s="51" t="n"/>
      <c r="F16" s="51" t="n"/>
      <c r="G16" s="51" t="n"/>
      <c r="H16" s="51" t="n"/>
      <c r="I16" s="51" t="n"/>
      <c r="J16" s="51" t="n"/>
      <c r="K16" s="51" t="n"/>
      <c r="L16" s="51" t="n"/>
      <c r="M16" s="51">
        <f>SUM(C16:L16)</f>
        <v/>
      </c>
      <c r="N16" s="35" t="n"/>
    </row>
    <row r="17">
      <c r="B17" s="66" t="n">
        <v>46508</v>
      </c>
      <c r="C17" s="51" t="n"/>
      <c r="D17" s="51" t="n"/>
      <c r="E17" s="51" t="n"/>
      <c r="F17" s="51" t="n"/>
      <c r="G17" s="51" t="n"/>
      <c r="H17" s="51" t="n"/>
      <c r="I17" s="51" t="n"/>
      <c r="J17" s="51" t="n"/>
      <c r="K17" s="51" t="n"/>
      <c r="L17" s="51" t="n"/>
      <c r="M17" s="51">
        <f>SUM(C17:L17)</f>
        <v/>
      </c>
      <c r="N17" s="35" t="n"/>
    </row>
    <row r="18">
      <c r="B18" s="66" t="n">
        <v>46539</v>
      </c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  <c r="L18" s="51" t="n"/>
      <c r="M18" s="51">
        <f>SUM(C18:L18)</f>
        <v/>
      </c>
      <c r="N18" s="35" t="n"/>
    </row>
    <row r="19">
      <c r="B19" s="66" t="n">
        <v>46569</v>
      </c>
      <c r="C19" s="51" t="n"/>
      <c r="D19" s="51" t="n"/>
      <c r="E19" s="51" t="n"/>
      <c r="F19" s="51" t="n"/>
      <c r="G19" s="51" t="n"/>
      <c r="H19" s="51" t="n"/>
      <c r="I19" s="51" t="n"/>
      <c r="J19" s="51" t="n"/>
      <c r="K19" s="51" t="n"/>
      <c r="L19" s="51" t="n"/>
      <c r="M19" s="51">
        <f>SUM(C19:L19)</f>
        <v/>
      </c>
      <c r="N19" s="35" t="n"/>
    </row>
    <row r="20">
      <c r="B20" s="66" t="n">
        <v>46600</v>
      </c>
      <c r="C20" s="51" t="n"/>
      <c r="D20" s="51" t="n"/>
      <c r="E20" s="51" t="n"/>
      <c r="F20" s="51" t="n"/>
      <c r="G20" s="51" t="n"/>
      <c r="H20" s="51" t="n"/>
      <c r="I20" s="51" t="n"/>
      <c r="J20" s="51" t="n"/>
      <c r="K20" s="51" t="n"/>
      <c r="L20" s="51" t="n"/>
      <c r="M20" s="51">
        <f>SUM(C20:L20)</f>
        <v/>
      </c>
      <c r="N20" s="35" t="n"/>
    </row>
    <row r="21">
      <c r="B21" s="66" t="n">
        <v>46631</v>
      </c>
      <c r="C21" s="51" t="n"/>
      <c r="D21" s="51" t="n"/>
      <c r="E21" s="51" t="n"/>
      <c r="F21" s="51" t="n"/>
      <c r="G21" s="51" t="n"/>
      <c r="H21" s="51" t="n"/>
      <c r="I21" s="51" t="n"/>
      <c r="J21" s="51" t="n"/>
      <c r="K21" s="51" t="n"/>
      <c r="L21" s="51" t="n"/>
      <c r="M21" s="51">
        <f>SUM(C21:L21)</f>
        <v/>
      </c>
      <c r="N21" s="35" t="n"/>
    </row>
    <row r="22">
      <c r="B22" s="66" t="n">
        <v>46661</v>
      </c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>
        <f>SUM(C22:L22)</f>
        <v/>
      </c>
      <c r="N22" s="35" t="n"/>
    </row>
    <row r="23">
      <c r="B23" s="66" t="n">
        <v>46692</v>
      </c>
      <c r="C23" s="51" t="n"/>
      <c r="D23" s="51" t="n"/>
      <c r="E23" s="51" t="n"/>
      <c r="F23" s="51" t="n"/>
      <c r="G23" s="51" t="n"/>
      <c r="H23" s="51" t="n"/>
      <c r="I23" s="51" t="n"/>
      <c r="J23" s="51" t="n"/>
      <c r="K23" s="51" t="n"/>
      <c r="L23" s="51" t="n"/>
      <c r="M23" s="51">
        <f>SUM(C23:L23)</f>
        <v/>
      </c>
      <c r="N23" s="35" t="n"/>
    </row>
    <row r="24">
      <c r="B24" s="66" t="n">
        <v>46722</v>
      </c>
      <c r="C24" s="51" t="n"/>
      <c r="D24" s="51" t="n"/>
      <c r="E24" s="51" t="n"/>
      <c r="F24" s="51" t="n"/>
      <c r="G24" s="51" t="n"/>
      <c r="H24" s="51" t="n"/>
      <c r="I24" s="51" t="n"/>
      <c r="J24" s="51" t="n"/>
      <c r="K24" s="51" t="n"/>
      <c r="L24" s="51" t="n"/>
      <c r="M24" s="51">
        <f>SUM(C24:L24)</f>
        <v/>
      </c>
      <c r="N24" s="35" t="n"/>
    </row>
    <row r="25">
      <c r="B25" s="66" t="n">
        <v>46753</v>
      </c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  <c r="L25" s="51" t="n"/>
      <c r="M25" s="51">
        <f>SUM(C25:L25)</f>
        <v/>
      </c>
      <c r="N25" s="35" t="n"/>
    </row>
    <row r="26">
      <c r="B26" s="66" t="n">
        <v>46784</v>
      </c>
      <c r="C26" s="51" t="n"/>
      <c r="D26" s="51" t="n"/>
      <c r="E26" s="51" t="n"/>
      <c r="F26" s="51" t="n"/>
      <c r="G26" s="51" t="n"/>
      <c r="H26" s="51" t="n"/>
      <c r="I26" s="51" t="n"/>
      <c r="J26" s="51" t="n"/>
      <c r="K26" s="51" t="n"/>
      <c r="L26" s="51" t="n"/>
      <c r="M26" s="51">
        <f>SUM(C26:L26)</f>
        <v/>
      </c>
      <c r="N26" s="35" t="n"/>
    </row>
    <row r="27">
      <c r="B27" s="66" t="n">
        <v>46813</v>
      </c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>
        <f>SUM(C27:L27)</f>
        <v/>
      </c>
      <c r="N27" s="35" t="n"/>
    </row>
    <row r="28">
      <c r="B28" s="66" t="n">
        <v>46844</v>
      </c>
      <c r="C28" s="51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>
        <f>SUM(C28:L28)</f>
        <v/>
      </c>
      <c r="N28" s="35" t="n"/>
    </row>
    <row r="29">
      <c r="B29" s="66" t="n">
        <v>46874</v>
      </c>
      <c r="C29" s="51" t="n"/>
      <c r="D29" s="51" t="n"/>
      <c r="E29" s="51" t="n"/>
      <c r="F29" s="51" t="n"/>
      <c r="G29" s="51" t="n"/>
      <c r="H29" s="51" t="n"/>
      <c r="I29" s="51" t="n"/>
      <c r="J29" s="51" t="n"/>
      <c r="K29" s="51" t="n"/>
      <c r="L29" s="51" t="n"/>
      <c r="M29" s="51">
        <f>SUM(C29:L29)</f>
        <v/>
      </c>
      <c r="N29" s="35" t="n"/>
    </row>
    <row r="30">
      <c r="B30" s="66" t="n">
        <v>46905</v>
      </c>
      <c r="C30" s="51" t="n"/>
      <c r="D30" s="51" t="n"/>
      <c r="E30" s="51" t="n"/>
      <c r="F30" s="51" t="n"/>
      <c r="G30" s="51" t="n"/>
      <c r="H30" s="51" t="n"/>
      <c r="I30" s="51" t="n"/>
      <c r="J30" s="51" t="n"/>
      <c r="K30" s="51" t="n"/>
      <c r="L30" s="51" t="n"/>
      <c r="M30" s="51">
        <f>SUM(C30:L30)</f>
        <v/>
      </c>
      <c r="N30" s="35" t="n"/>
    </row>
    <row r="31">
      <c r="B31" s="66" t="n">
        <v>46935</v>
      </c>
      <c r="C31" s="51" t="n"/>
      <c r="D31" s="51" t="n"/>
      <c r="E31" s="51" t="n"/>
      <c r="F31" s="51" t="n"/>
      <c r="G31" s="51" t="n"/>
      <c r="H31" s="51" t="n"/>
      <c r="I31" s="51" t="n"/>
      <c r="J31" s="51" t="n"/>
      <c r="K31" s="51" t="n"/>
      <c r="L31" s="51" t="n"/>
      <c r="M31" s="51">
        <f>SUM(C31:L31)</f>
        <v/>
      </c>
      <c r="N31" s="35" t="n"/>
    </row>
    <row r="32">
      <c r="B32" s="66" t="n">
        <v>46966</v>
      </c>
      <c r="C32" s="51" t="n"/>
      <c r="D32" s="51" t="n"/>
      <c r="E32" s="51" t="n"/>
      <c r="F32" s="51" t="n"/>
      <c r="G32" s="51" t="n"/>
      <c r="H32" s="51" t="n"/>
      <c r="I32" s="51" t="n"/>
      <c r="J32" s="51" t="n"/>
      <c r="K32" s="51" t="n"/>
      <c r="L32" s="51" t="n"/>
      <c r="M32" s="51">
        <f>SUM(C32:L32)</f>
        <v/>
      </c>
      <c r="N32" s="35" t="n"/>
    </row>
    <row r="33">
      <c r="B33" s="66" t="n">
        <v>46997</v>
      </c>
      <c r="C33" s="51" t="n"/>
      <c r="D33" s="51" t="n"/>
      <c r="E33" s="51" t="n"/>
      <c r="F33" s="51" t="n"/>
      <c r="G33" s="51" t="n"/>
      <c r="H33" s="51" t="n"/>
      <c r="I33" s="51" t="n"/>
      <c r="J33" s="51" t="n"/>
      <c r="K33" s="51" t="n"/>
      <c r="L33" s="51" t="n"/>
      <c r="M33" s="51">
        <f>SUM(C33:L33)</f>
        <v/>
      </c>
      <c r="N33" s="35" t="n"/>
    </row>
    <row r="34">
      <c r="B34" s="66" t="n">
        <v>47027</v>
      </c>
      <c r="C34" s="51" t="n"/>
      <c r="D34" s="51" t="n"/>
      <c r="E34" s="51" t="n"/>
      <c r="F34" s="51" t="n"/>
      <c r="G34" s="51" t="n"/>
      <c r="H34" s="51" t="n"/>
      <c r="I34" s="51" t="n"/>
      <c r="J34" s="51" t="n"/>
      <c r="K34" s="51" t="n"/>
      <c r="L34" s="51" t="n"/>
      <c r="M34" s="51">
        <f>SUM(C34:L34)</f>
        <v/>
      </c>
      <c r="N34" s="35" t="n"/>
    </row>
    <row r="35">
      <c r="B35" s="66" t="n">
        <v>47058</v>
      </c>
      <c r="C35" s="51" t="n"/>
      <c r="D35" s="51" t="n"/>
      <c r="E35" s="51" t="n"/>
      <c r="F35" s="51" t="n"/>
      <c r="G35" s="51" t="n"/>
      <c r="H35" s="51" t="n"/>
      <c r="I35" s="51" t="n"/>
      <c r="J35" s="51" t="n"/>
      <c r="K35" s="51" t="n"/>
      <c r="L35" s="51" t="n"/>
      <c r="M35" s="51">
        <f>SUM(C35:L35)</f>
        <v/>
      </c>
      <c r="N35" s="35" t="n"/>
    </row>
    <row r="36">
      <c r="B36" s="66" t="n">
        <v>47088</v>
      </c>
      <c r="C36" s="51" t="n"/>
      <c r="D36" s="51" t="n"/>
      <c r="E36" s="51" t="n"/>
      <c r="F36" s="51" t="n"/>
      <c r="G36" s="51" t="n"/>
      <c r="H36" s="51" t="n"/>
      <c r="I36" s="51" t="n"/>
      <c r="J36" s="51" t="n"/>
      <c r="K36" s="51" t="n"/>
      <c r="L36" s="51" t="n"/>
      <c r="M36" s="51">
        <f>SUM(C36:L36)</f>
        <v/>
      </c>
      <c r="N36" s="35" t="n"/>
    </row>
    <row r="38" ht="21.95" customHeight="1">
      <c r="B38" s="38" t="inlineStr">
        <is>
          <t>카테고리별 합계</t>
        </is>
      </c>
    </row>
    <row r="39" ht="20.1" customHeight="1">
      <c r="B39" s="32" t="inlineStr">
        <is>
          <t>전체 합계</t>
        </is>
      </c>
      <c r="C39" s="59">
        <f>SUM(C5:C36)</f>
        <v/>
      </c>
      <c r="D39" s="59">
        <f>SUM(D5:D36)</f>
        <v/>
      </c>
      <c r="E39" s="59">
        <f>SUM(E5:E36)</f>
        <v/>
      </c>
      <c r="F39" s="59">
        <f>SUM(F5:F36)</f>
        <v/>
      </c>
      <c r="G39" s="59">
        <f>SUM(G5:G36)</f>
        <v/>
      </c>
      <c r="H39" s="59">
        <f>SUM(H5:H36)</f>
        <v/>
      </c>
      <c r="I39" s="59">
        <f>SUM(I5:I36)</f>
        <v/>
      </c>
      <c r="J39" s="59">
        <f>SUM(J5:J36)</f>
        <v/>
      </c>
      <c r="K39" s="59">
        <f>SUM(K5:K36)</f>
        <v/>
      </c>
      <c r="L39" s="59">
        <f>SUM(L5:L36)</f>
        <v/>
      </c>
      <c r="M39" s="59">
        <f>SUM(M5:M36)</f>
        <v/>
      </c>
    </row>
    <row r="41">
      <c r="B41" s="15" t="inlineStr">
        <is>
          <t xml:space="preserve">  ※ 각 셀에 숫자만 입력. 월 합계는 자동 계산.</t>
        </is>
      </c>
    </row>
  </sheetData>
  <mergeCells count="2">
    <mergeCell ref="B38:N38"/>
    <mergeCell ref="B2:N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K59"/>
  <sheetViews>
    <sheetView showGridLines="0" workbookViewId="0">
      <selection activeCell="G50" sqref="G50"/>
    </sheetView>
  </sheetViews>
  <sheetFormatPr baseColWidth="8" defaultRowHeight="16.5"/>
  <cols>
    <col width="2" customWidth="1" style="37" min="1" max="1"/>
    <col width="9" customWidth="1" style="37" min="2" max="2"/>
    <col width="14" customWidth="1" style="37" min="3" max="9"/>
    <col width="12" customWidth="1" style="37" min="10" max="10"/>
    <col width="20" customWidth="1" style="37" min="11" max="11"/>
    <col width="9" customWidth="1" style="37" min="12" max="12"/>
    <col width="9" customWidth="1" style="37" min="13" max="16384"/>
  </cols>
  <sheetData>
    <row r="2" ht="36" customHeight="1">
      <c r="B2" s="39" t="inlineStr">
        <is>
          <t xml:space="preserve">  월별 저축 추이</t>
        </is>
      </c>
    </row>
    <row r="3" ht="15.95" customHeight="1">
      <c r="B3" s="18" t="inlineStr">
        <is>
          <t xml:space="preserve">  수입만 입력하세요. 지출은 가계부 시트에서 자동 반영됩니다.</t>
        </is>
      </c>
    </row>
    <row r="4" ht="21.95" customHeight="1">
      <c r="B4" s="38" t="inlineStr">
        <is>
          <t>시작 순자산 (2026년 5월)</t>
        </is>
      </c>
    </row>
    <row r="5" ht="17.25" customHeight="1">
      <c r="B5" s="32" t="inlineStr">
        <is>
          <t>시작 순자산</t>
        </is>
      </c>
      <c r="C5" s="68" t="n">
        <v>450986632</v>
      </c>
      <c r="D5" s="34" t="n"/>
      <c r="E5" s="63" t="inlineStr">
        <is>
          <t xml:space="preserve">  자산현황 시트 순자산 값 입력</t>
        </is>
      </c>
      <c r="F5" s="33" t="n"/>
      <c r="G5" s="33" t="n"/>
      <c r="H5" s="33" t="n"/>
      <c r="I5" s="33" t="n"/>
      <c r="J5" s="34" t="n"/>
    </row>
    <row r="7" ht="21.95" customHeight="1">
      <c r="B7" s="38" t="inlineStr">
        <is>
          <t>주요 이벤트 (해당 월 자동 차감)</t>
        </is>
      </c>
    </row>
    <row r="8" ht="17.25" customHeight="1">
      <c r="B8" s="40" t="inlineStr">
        <is>
          <t>연-월</t>
        </is>
      </c>
      <c r="C8" s="61" t="inlineStr">
        <is>
          <t>이벤트명</t>
        </is>
      </c>
      <c r="D8" s="33" t="n"/>
      <c r="E8" s="34" t="n"/>
      <c r="F8" s="40" t="inlineStr">
        <is>
          <t>금액 (원)</t>
        </is>
      </c>
      <c r="G8" s="61" t="inlineStr">
        <is>
          <t>비고</t>
        </is>
      </c>
      <c r="H8" s="34" t="n"/>
    </row>
    <row r="9" ht="17.25" customHeight="1">
      <c r="B9" s="27" t="n">
        <v>46631</v>
      </c>
      <c r="C9" s="63" t="inlineStr">
        <is>
          <t>부동산 잔금 (자기자금)</t>
        </is>
      </c>
      <c r="D9" s="33" t="n"/>
      <c r="E9" s="34" t="n"/>
      <c r="F9" s="26" t="n">
        <v>-220000000</v>
      </c>
      <c r="G9" s="63" t="n"/>
      <c r="H9" s="34" t="n"/>
    </row>
    <row r="10" ht="17.25" customHeight="1">
      <c r="B10" s="27" t="n">
        <v>46631</v>
      </c>
      <c r="C10" s="63" t="inlineStr">
        <is>
          <t>취득세·부대비용</t>
        </is>
      </c>
      <c r="D10" s="33" t="n"/>
      <c r="E10" s="34" t="n"/>
      <c r="F10" s="26" t="n">
        <v>-50000000</v>
      </c>
      <c r="G10" s="63" t="n"/>
      <c r="H10" s="34" t="n"/>
    </row>
    <row r="11" ht="17.25" customHeight="1">
      <c r="B11" s="27" t="n">
        <v>46569</v>
      </c>
      <c r="C11" s="63" t="inlineStr">
        <is>
          <t>결혼식 비용</t>
        </is>
      </c>
      <c r="D11" s="33" t="n"/>
      <c r="E11" s="34" t="n"/>
      <c r="F11" s="26" t="n">
        <v>-50000000</v>
      </c>
      <c r="G11" s="63" t="n"/>
      <c r="H11" s="34" t="n"/>
    </row>
    <row r="12" ht="17.25" customHeight="1">
      <c r="B12" s="27" t="n">
        <v>46569</v>
      </c>
      <c r="C12" s="63" t="inlineStr">
        <is>
          <t>신혼여행</t>
        </is>
      </c>
      <c r="D12" s="33" t="n"/>
      <c r="E12" s="34" t="n"/>
      <c r="F12" s="26" t="n">
        <v>-10000000</v>
      </c>
      <c r="G12" s="63" t="n"/>
      <c r="H12" s="34" t="n"/>
    </row>
    <row r="13" ht="17.25" customHeight="1">
      <c r="B13" s="27" t="n">
        <v>46600</v>
      </c>
      <c r="C13" s="63" t="inlineStr">
        <is>
          <t>인테리어·가전가구</t>
        </is>
      </c>
      <c r="D13" s="33" t="n"/>
      <c r="E13" s="34" t="n"/>
      <c r="F13" s="26" t="n">
        <v>-50000000</v>
      </c>
      <c r="G13" s="63" t="n"/>
      <c r="H13" s="34" t="n"/>
    </row>
    <row r="14" ht="17.25" customHeight="1">
      <c r="B14" s="27" t="n">
        <v>46600</v>
      </c>
      <c r="C14" s="63" t="inlineStr">
        <is>
          <t>세입자 보증금 반환</t>
        </is>
      </c>
      <c r="D14" s="33" t="n"/>
      <c r="E14" s="34" t="n"/>
      <c r="F14" s="26" t="n">
        <v>-300000000</v>
      </c>
      <c r="G14" s="63" t="inlineStr">
        <is>
          <t>보증금 반환 대출 1억 추가</t>
        </is>
      </c>
      <c r="H14" s="34" t="n"/>
    </row>
    <row r="15" ht="17.25" customHeight="1">
      <c r="B15" s="35" t="n"/>
      <c r="C15" s="63" t="n"/>
      <c r="D15" s="33" t="n"/>
      <c r="E15" s="34" t="n"/>
      <c r="F15" s="51" t="n"/>
      <c r="G15" s="63" t="n"/>
      <c r="H15" s="34" t="n"/>
    </row>
    <row r="16" ht="17.25" customHeight="1">
      <c r="B16" s="35" t="n"/>
      <c r="C16" s="63" t="n"/>
      <c r="D16" s="33" t="n"/>
      <c r="E16" s="34" t="n"/>
      <c r="F16" s="51" t="n"/>
      <c r="G16" s="63" t="n"/>
      <c r="H16" s="34" t="n"/>
    </row>
    <row r="17" ht="17.25" customHeight="1">
      <c r="B17" s="35" t="n"/>
      <c r="C17" s="63" t="n"/>
      <c r="D17" s="33" t="n"/>
      <c r="E17" s="34" t="n"/>
      <c r="F17" s="51" t="n"/>
      <c r="G17" s="63" t="n"/>
      <c r="H17" s="34" t="n"/>
    </row>
    <row r="19" ht="21.95" customHeight="1">
      <c r="B19" s="38" t="inlineStr">
        <is>
          <t>월별 기록</t>
        </is>
      </c>
    </row>
    <row r="20">
      <c r="B20" s="40" t="inlineStr">
        <is>
          <t>월</t>
        </is>
      </c>
      <c r="C20" s="40" t="inlineStr">
        <is>
          <t>민엽 수입</t>
        </is>
      </c>
      <c r="D20" s="40" t="inlineStr">
        <is>
          <t>현지 수입</t>
        </is>
      </c>
      <c r="E20" s="40" t="inlineStr">
        <is>
          <t>합계 수입</t>
        </is>
      </c>
      <c r="F20" s="19" t="inlineStr">
        <is>
          <t>민엽 지출</t>
        </is>
      </c>
      <c r="G20" s="19" t="inlineStr">
        <is>
          <t>현지 지출</t>
        </is>
      </c>
      <c r="H20" s="19" t="inlineStr">
        <is>
          <t>합계 지출</t>
        </is>
      </c>
      <c r="I20" s="40" t="inlineStr">
        <is>
          <t>저축액</t>
        </is>
      </c>
      <c r="J20" s="40" t="inlineStr">
        <is>
          <t>저축률</t>
        </is>
      </c>
      <c r="K20" s="40" t="inlineStr">
        <is>
          <t>비고</t>
        </is>
      </c>
    </row>
    <row r="21">
      <c r="B21" s="66" t="n">
        <v>46143</v>
      </c>
      <c r="C21" s="51" t="n">
        <v>6000000</v>
      </c>
      <c r="D21" s="51" t="n">
        <v>3500000</v>
      </c>
      <c r="E21" s="51">
        <f>C21+D21</f>
        <v/>
      </c>
      <c r="F21" s="51" t="n">
        <v>2500000</v>
      </c>
      <c r="G21" s="51" t="n">
        <v>2000000</v>
      </c>
      <c r="H21" s="51">
        <f>SUM(F21:G21)</f>
        <v/>
      </c>
      <c r="I21" s="51">
        <f>E21-H21</f>
        <v/>
      </c>
      <c r="J21" s="67">
        <f>IF(E21=0,0,I21/E21)</f>
        <v/>
      </c>
      <c r="K21" s="35" t="inlineStr">
        <is>
          <t>어머니 50</t>
        </is>
      </c>
    </row>
    <row r="22">
      <c r="B22" s="66" t="n">
        <v>46174</v>
      </c>
      <c r="C22" s="51" t="n">
        <v>6000000</v>
      </c>
      <c r="D22" s="51" t="n">
        <v>3500000</v>
      </c>
      <c r="E22" s="51">
        <f>C22+D22</f>
        <v/>
      </c>
      <c r="F22" s="51" t="n">
        <v>2500000</v>
      </c>
      <c r="G22" s="51" t="n">
        <v>2000000</v>
      </c>
      <c r="H22" s="51">
        <f>SUM(F22:G22)</f>
        <v/>
      </c>
      <c r="I22" s="51">
        <f>E22-H22</f>
        <v/>
      </c>
      <c r="J22" s="67">
        <f>IF(E22=0,0,I22/E22)</f>
        <v/>
      </c>
      <c r="K22" s="35" t="inlineStr">
        <is>
          <t>어머니 50</t>
        </is>
      </c>
    </row>
    <row r="23">
      <c r="B23" s="66" t="n">
        <v>46204</v>
      </c>
      <c r="C23" s="51" t="n">
        <v>6000000</v>
      </c>
      <c r="D23" s="51" t="n">
        <v>3500000</v>
      </c>
      <c r="E23" s="51">
        <f>C23+D23</f>
        <v/>
      </c>
      <c r="F23" s="51" t="n">
        <v>2000000</v>
      </c>
      <c r="G23" s="51" t="n">
        <v>2000000</v>
      </c>
      <c r="H23" s="51">
        <f>SUM(F23:G23)</f>
        <v/>
      </c>
      <c r="I23" s="51">
        <f>E23-H23</f>
        <v/>
      </c>
      <c r="J23" s="67">
        <f>IF(E23=0,0,I23/E23)</f>
        <v/>
      </c>
      <c r="K23" s="35" t="inlineStr">
        <is>
          <t>어머니 50</t>
        </is>
      </c>
    </row>
    <row r="24">
      <c r="B24" s="66" t="n">
        <v>46235</v>
      </c>
      <c r="C24" s="51" t="n">
        <v>6000000</v>
      </c>
      <c r="D24" s="51" t="n">
        <v>5500000</v>
      </c>
      <c r="E24" s="51">
        <f>C24+D24</f>
        <v/>
      </c>
      <c r="F24" s="51" t="n">
        <v>4000000</v>
      </c>
      <c r="G24" s="51" t="n">
        <v>2000000</v>
      </c>
      <c r="H24" s="51">
        <f>SUM(F24:G24)</f>
        <v/>
      </c>
      <c r="I24" s="51">
        <f>E24-H24</f>
        <v/>
      </c>
      <c r="J24" s="67">
        <f>IF(E24=0,0,I24/E24)</f>
        <v/>
      </c>
      <c r="K24" s="35" t="inlineStr">
        <is>
          <t>어머니 50 + 대출이자 150</t>
        </is>
      </c>
    </row>
    <row r="25">
      <c r="B25" s="66" t="n">
        <v>46266</v>
      </c>
      <c r="C25" s="51" t="n">
        <v>6000000</v>
      </c>
      <c r="D25" s="51" t="n">
        <v>3500000</v>
      </c>
      <c r="E25" s="51">
        <f>C25+D25</f>
        <v/>
      </c>
      <c r="F25" s="51" t="n">
        <v>4000000</v>
      </c>
      <c r="G25" s="51" t="n">
        <v>2000000</v>
      </c>
      <c r="H25" s="51">
        <f>SUM(F25:G25)</f>
        <v/>
      </c>
      <c r="I25" s="51">
        <f>E25-H25</f>
        <v/>
      </c>
      <c r="J25" s="67">
        <f>IF(E25=0,0,I25/E25)</f>
        <v/>
      </c>
      <c r="K25" s="35" t="inlineStr">
        <is>
          <t>어머니 50 + 대출이자 150</t>
        </is>
      </c>
    </row>
    <row r="26">
      <c r="B26" s="66" t="n">
        <v>46296</v>
      </c>
      <c r="C26" s="51" t="n">
        <v>6000000</v>
      </c>
      <c r="D26" s="51" t="n">
        <v>3500000</v>
      </c>
      <c r="E26" s="51">
        <f>C26+D26</f>
        <v/>
      </c>
      <c r="F26" s="51" t="n">
        <v>4000000</v>
      </c>
      <c r="G26" s="51" t="n">
        <v>2000000</v>
      </c>
      <c r="H26" s="51">
        <f>SUM(F26:G26)</f>
        <v/>
      </c>
      <c r="I26" s="51">
        <f>E26-H26</f>
        <v/>
      </c>
      <c r="J26" s="67">
        <f>IF(E26=0,0,I26/E26)</f>
        <v/>
      </c>
      <c r="K26" s="35" t="inlineStr">
        <is>
          <t>어머니 50 + 대출이자 150</t>
        </is>
      </c>
    </row>
    <row r="27">
      <c r="B27" s="66" t="n">
        <v>46327</v>
      </c>
      <c r="C27" s="51" t="n">
        <v>6000000</v>
      </c>
      <c r="D27" s="51" t="n">
        <v>3500000</v>
      </c>
      <c r="E27" s="51">
        <f>C27+D27</f>
        <v/>
      </c>
      <c r="F27" s="51" t="n">
        <v>4000000</v>
      </c>
      <c r="G27" s="51" t="n">
        <v>2000000</v>
      </c>
      <c r="H27" s="51">
        <f>SUM(F27:G27)</f>
        <v/>
      </c>
      <c r="I27" s="51">
        <f>E27-H27</f>
        <v/>
      </c>
      <c r="J27" s="67">
        <f>IF(E27=0,0,I27/E27)</f>
        <v/>
      </c>
      <c r="K27" s="35" t="inlineStr">
        <is>
          <t>어머니 50 + 대출이자 150</t>
        </is>
      </c>
    </row>
    <row r="28">
      <c r="B28" s="66" t="n">
        <v>46357</v>
      </c>
      <c r="C28" s="51" t="n">
        <v>6000000</v>
      </c>
      <c r="D28" s="51" t="n">
        <v>3500000</v>
      </c>
      <c r="E28" s="51">
        <f>C28+D28</f>
        <v/>
      </c>
      <c r="F28" s="51" t="n">
        <v>4000000</v>
      </c>
      <c r="G28" s="51" t="n">
        <v>2000000</v>
      </c>
      <c r="H28" s="51">
        <f>SUM(F28:G28)</f>
        <v/>
      </c>
      <c r="I28" s="51">
        <f>E28-H28</f>
        <v/>
      </c>
      <c r="J28" s="67">
        <f>IF(E28=0,0,I28/E28)</f>
        <v/>
      </c>
      <c r="K28" s="35" t="inlineStr">
        <is>
          <t>어머니 50 + 대출이자 150</t>
        </is>
      </c>
    </row>
    <row r="29">
      <c r="B29" s="66" t="n">
        <v>46388</v>
      </c>
      <c r="C29" s="51" t="n">
        <v>16000000</v>
      </c>
      <c r="D29" s="51" t="n">
        <v>3500000</v>
      </c>
      <c r="E29" s="51">
        <f>C29+D29</f>
        <v/>
      </c>
      <c r="F29" s="51" t="n">
        <v>4000000</v>
      </c>
      <c r="G29" s="51" t="n">
        <v>2000000</v>
      </c>
      <c r="H29" s="51">
        <f>SUM(F29:G29)</f>
        <v/>
      </c>
      <c r="I29" s="51">
        <f>E29-H29</f>
        <v/>
      </c>
      <c r="J29" s="67">
        <f>IF(E29=0,0,I29/E29)</f>
        <v/>
      </c>
      <c r="K29" s="35" t="inlineStr">
        <is>
          <t>어머니 50 + 대출이자 150</t>
        </is>
      </c>
    </row>
    <row r="30">
      <c r="B30" s="66" t="n">
        <v>46419</v>
      </c>
      <c r="C30" s="51" t="n">
        <v>6000000</v>
      </c>
      <c r="D30" s="51" t="n">
        <v>3500000</v>
      </c>
      <c r="E30" s="51">
        <f>C30+D30</f>
        <v/>
      </c>
      <c r="F30" s="51" t="n">
        <v>4000000</v>
      </c>
      <c r="G30" s="51" t="n">
        <v>2000000</v>
      </c>
      <c r="H30" s="51">
        <f>SUM(F30:G30)</f>
        <v/>
      </c>
      <c r="I30" s="51">
        <f>E30-H30</f>
        <v/>
      </c>
      <c r="J30" s="67">
        <f>IF(E30=0,0,I30/E30)</f>
        <v/>
      </c>
      <c r="K30" s="35" t="inlineStr">
        <is>
          <t>어머니 50 + 대출이자 150</t>
        </is>
      </c>
    </row>
    <row r="31">
      <c r="B31" s="66" t="n">
        <v>46447</v>
      </c>
      <c r="C31" s="51" t="n">
        <v>6000000</v>
      </c>
      <c r="D31" s="51" t="n">
        <v>3500000</v>
      </c>
      <c r="E31" s="51">
        <f>C31+D31</f>
        <v/>
      </c>
      <c r="F31" s="51" t="n">
        <v>4000000</v>
      </c>
      <c r="G31" s="51" t="n">
        <v>2000000</v>
      </c>
      <c r="H31" s="51">
        <f>SUM(F31:G31)</f>
        <v/>
      </c>
      <c r="I31" s="51">
        <f>E31-H31</f>
        <v/>
      </c>
      <c r="J31" s="67">
        <f>IF(E31=0,0,I31/E31)</f>
        <v/>
      </c>
      <c r="K31" s="35" t="inlineStr">
        <is>
          <t>어머니 50 + 대출이자 150</t>
        </is>
      </c>
    </row>
    <row r="32">
      <c r="B32" s="66" t="n">
        <v>46478</v>
      </c>
      <c r="C32" s="51" t="n">
        <v>6000000</v>
      </c>
      <c r="D32" s="51" t="n">
        <v>3500000</v>
      </c>
      <c r="E32" s="51">
        <f>C32+D32</f>
        <v/>
      </c>
      <c r="F32" s="51" t="n">
        <v>4000000</v>
      </c>
      <c r="G32" s="51" t="n">
        <v>2000000</v>
      </c>
      <c r="H32" s="51">
        <f>SUM(F32:G32)</f>
        <v/>
      </c>
      <c r="I32" s="51">
        <f>E32-H32</f>
        <v/>
      </c>
      <c r="J32" s="67">
        <f>IF(E32=0,0,I32/E32)</f>
        <v/>
      </c>
      <c r="K32" s="35" t="inlineStr">
        <is>
          <t>어머니 50 + 대출이자 150</t>
        </is>
      </c>
    </row>
    <row r="33">
      <c r="B33" s="66" t="n">
        <v>46508</v>
      </c>
      <c r="C33" s="51" t="n">
        <v>6000000</v>
      </c>
      <c r="D33" s="51" t="n">
        <v>3500000</v>
      </c>
      <c r="E33" s="51">
        <f>C33+D33</f>
        <v/>
      </c>
      <c r="F33" s="51" t="n">
        <v>4000000</v>
      </c>
      <c r="G33" s="51" t="n">
        <v>2000000</v>
      </c>
      <c r="H33" s="51">
        <f>SUM(F33:G33)</f>
        <v/>
      </c>
      <c r="I33" s="51">
        <f>E33-H33</f>
        <v/>
      </c>
      <c r="J33" s="67">
        <f>IF(E33=0,0,I33/E33)</f>
        <v/>
      </c>
      <c r="K33" s="35" t="inlineStr">
        <is>
          <t>어머니 50 + 대출이자 150</t>
        </is>
      </c>
    </row>
    <row r="34">
      <c r="B34" s="66" t="n">
        <v>46539</v>
      </c>
      <c r="C34" s="51" t="n">
        <v>6000000</v>
      </c>
      <c r="D34" s="51" t="n">
        <v>3500000</v>
      </c>
      <c r="E34" s="51">
        <f>C34+D34</f>
        <v/>
      </c>
      <c r="F34" s="51" t="n">
        <v>4000000</v>
      </c>
      <c r="G34" s="51" t="n">
        <v>2000000</v>
      </c>
      <c r="H34" s="51">
        <f>SUM(F34:G34)</f>
        <v/>
      </c>
      <c r="I34" s="51">
        <f>E34-H34</f>
        <v/>
      </c>
      <c r="J34" s="67">
        <f>IF(E34=0,0,I34/E34)</f>
        <v/>
      </c>
      <c r="K34" s="35" t="inlineStr">
        <is>
          <t>어머니 50 + 대출이자 150</t>
        </is>
      </c>
    </row>
    <row r="35">
      <c r="B35" s="66" t="n">
        <v>46569</v>
      </c>
      <c r="C35" s="51" t="n">
        <v>6000000</v>
      </c>
      <c r="D35" s="51" t="n">
        <v>3500000</v>
      </c>
      <c r="E35" s="51">
        <f>C35+D35</f>
        <v/>
      </c>
      <c r="F35" s="51" t="n">
        <v>4000000</v>
      </c>
      <c r="G35" s="51" t="n">
        <v>2000000</v>
      </c>
      <c r="H35" s="51">
        <f>SUM(F35:G35)</f>
        <v/>
      </c>
      <c r="I35" s="51">
        <f>E35-H35</f>
        <v/>
      </c>
      <c r="J35" s="67">
        <f>IF(E35=0,0,I35/E35)</f>
        <v/>
      </c>
      <c r="K35" s="35" t="inlineStr">
        <is>
          <t>어머니 50 + 대출이자 150</t>
        </is>
      </c>
    </row>
    <row r="36">
      <c r="B36" s="66" t="n">
        <v>46600</v>
      </c>
      <c r="C36" s="51" t="n"/>
      <c r="D36" s="51" t="n"/>
      <c r="E36" s="51" t="n"/>
      <c r="F36" s="51" t="n"/>
      <c r="G36" s="51" t="n"/>
      <c r="H36" s="51" t="n"/>
      <c r="I36" s="51" t="n"/>
      <c r="J36" s="67" t="n"/>
      <c r="K36" s="35" t="n"/>
    </row>
    <row r="37">
      <c r="B37" s="66" t="n">
        <v>46631</v>
      </c>
      <c r="C37" s="51" t="n"/>
      <c r="D37" s="51" t="n"/>
      <c r="E37" s="51" t="n"/>
      <c r="F37" s="51" t="n"/>
      <c r="G37" s="51" t="n"/>
      <c r="H37" s="51" t="n"/>
      <c r="I37" s="51" t="n"/>
      <c r="J37" s="67" t="n"/>
      <c r="K37" s="35" t="n"/>
    </row>
    <row r="38">
      <c r="B38" s="66" t="n">
        <v>46661</v>
      </c>
      <c r="C38" s="51" t="n"/>
      <c r="D38" s="51" t="n"/>
      <c r="E38" s="51" t="n"/>
      <c r="F38" s="51" t="n"/>
      <c r="G38" s="51" t="n"/>
      <c r="H38" s="51" t="n"/>
      <c r="I38" s="51" t="n"/>
      <c r="J38" s="67" t="n"/>
      <c r="K38" s="35" t="n"/>
    </row>
    <row r="39">
      <c r="B39" s="66" t="n">
        <v>46692</v>
      </c>
      <c r="C39" s="51" t="n"/>
      <c r="D39" s="51" t="n"/>
      <c r="E39" s="51" t="n"/>
      <c r="F39" s="51" t="n"/>
      <c r="G39" s="51" t="n"/>
      <c r="H39" s="51" t="n"/>
      <c r="I39" s="51" t="n"/>
      <c r="J39" s="67" t="n"/>
      <c r="K39" s="35" t="n"/>
    </row>
    <row r="40">
      <c r="B40" s="66" t="n">
        <v>46722</v>
      </c>
      <c r="C40" s="51" t="n"/>
      <c r="D40" s="51" t="n"/>
      <c r="E40" s="51" t="n"/>
      <c r="F40" s="51" t="n"/>
      <c r="G40" s="51" t="n"/>
      <c r="H40" s="51" t="n"/>
      <c r="I40" s="51" t="n"/>
      <c r="J40" s="67" t="n"/>
      <c r="K40" s="35" t="n"/>
    </row>
    <row r="41">
      <c r="B41" s="66" t="n">
        <v>46753</v>
      </c>
      <c r="C41" s="51" t="n"/>
      <c r="D41" s="51" t="n"/>
      <c r="E41" s="51" t="n"/>
      <c r="F41" s="51" t="n"/>
      <c r="G41" s="51" t="n"/>
      <c r="H41" s="51" t="n"/>
      <c r="I41" s="51" t="n"/>
      <c r="J41" s="67" t="n"/>
      <c r="K41" s="35" t="n"/>
    </row>
    <row r="42">
      <c r="B42" s="66" t="n">
        <v>46784</v>
      </c>
      <c r="C42" s="51" t="n"/>
      <c r="D42" s="51" t="n"/>
      <c r="E42" s="51" t="n"/>
      <c r="F42" s="51" t="n"/>
      <c r="G42" s="51" t="n"/>
      <c r="H42" s="51" t="n"/>
      <c r="I42" s="51" t="n"/>
      <c r="J42" s="67" t="n"/>
      <c r="K42" s="35" t="n"/>
    </row>
    <row r="43">
      <c r="B43" s="66" t="n">
        <v>46813</v>
      </c>
      <c r="C43" s="51" t="n"/>
      <c r="D43" s="51" t="n"/>
      <c r="E43" s="51" t="n"/>
      <c r="F43" s="51" t="n"/>
      <c r="G43" s="51" t="n"/>
      <c r="H43" s="51" t="n"/>
      <c r="I43" s="51" t="n"/>
      <c r="J43" s="67" t="n"/>
      <c r="K43" s="35" t="n"/>
    </row>
    <row r="44">
      <c r="B44" s="66" t="n">
        <v>46844</v>
      </c>
      <c r="C44" s="51" t="n"/>
      <c r="D44" s="51" t="n"/>
      <c r="E44" s="51" t="n"/>
      <c r="F44" s="51" t="n"/>
      <c r="G44" s="51" t="n"/>
      <c r="H44" s="51" t="n"/>
      <c r="I44" s="51" t="n"/>
      <c r="J44" s="67" t="n"/>
      <c r="K44" s="35" t="n"/>
    </row>
    <row r="45">
      <c r="B45" s="66" t="n">
        <v>46874</v>
      </c>
      <c r="C45" s="51" t="n"/>
      <c r="D45" s="51" t="n"/>
      <c r="E45" s="51" t="n"/>
      <c r="F45" s="51" t="n"/>
      <c r="G45" s="51" t="n"/>
      <c r="H45" s="51" t="n"/>
      <c r="I45" s="51" t="n"/>
      <c r="J45" s="67" t="n"/>
      <c r="K45" s="35" t="n"/>
    </row>
    <row r="46">
      <c r="B46" s="66" t="n">
        <v>46905</v>
      </c>
      <c r="C46" s="51" t="n"/>
      <c r="D46" s="51" t="n"/>
      <c r="E46" s="51" t="n"/>
      <c r="F46" s="51" t="n"/>
      <c r="G46" s="51" t="n"/>
      <c r="H46" s="51" t="n"/>
      <c r="I46" s="51" t="n"/>
      <c r="J46" s="67" t="n"/>
      <c r="K46" s="35" t="n"/>
    </row>
    <row r="47">
      <c r="B47" s="66" t="n">
        <v>46935</v>
      </c>
      <c r="C47" s="51" t="n"/>
      <c r="D47" s="51" t="n"/>
      <c r="E47" s="51" t="n"/>
      <c r="F47" s="51" t="n"/>
      <c r="G47" s="51" t="n"/>
      <c r="H47" s="51" t="n"/>
      <c r="I47" s="51" t="n"/>
      <c r="J47" s="67" t="n"/>
      <c r="K47" s="35" t="n"/>
    </row>
    <row r="48">
      <c r="B48" s="66" t="n">
        <v>46966</v>
      </c>
      <c r="C48" s="51" t="n"/>
      <c r="D48" s="51" t="n"/>
      <c r="E48" s="51" t="n"/>
      <c r="F48" s="51" t="n"/>
      <c r="G48" s="51" t="n"/>
      <c r="H48" s="51" t="n"/>
      <c r="I48" s="51" t="n"/>
      <c r="J48" s="67" t="n"/>
      <c r="K48" s="35" t="n"/>
    </row>
    <row r="49">
      <c r="B49" s="66" t="n">
        <v>46997</v>
      </c>
      <c r="C49" s="51" t="n"/>
      <c r="D49" s="51" t="n"/>
      <c r="E49" s="51" t="n"/>
      <c r="F49" s="51" t="n"/>
      <c r="G49" s="51" t="n"/>
      <c r="H49" s="51" t="n"/>
      <c r="I49" s="51" t="n"/>
      <c r="J49" s="67" t="n"/>
      <c r="K49" s="35" t="n"/>
    </row>
    <row r="50">
      <c r="B50" s="66" t="n">
        <v>47027</v>
      </c>
      <c r="C50" s="51" t="n"/>
      <c r="D50" s="51" t="n"/>
      <c r="E50" s="51" t="n"/>
      <c r="F50" s="51" t="n"/>
      <c r="G50" s="51" t="n"/>
      <c r="H50" s="51" t="n"/>
      <c r="I50" s="51" t="n"/>
      <c r="J50" s="67" t="n"/>
      <c r="K50" s="35" t="n"/>
    </row>
    <row r="51">
      <c r="B51" s="66" t="n">
        <v>47058</v>
      </c>
      <c r="C51" s="51" t="n"/>
      <c r="D51" s="51" t="n"/>
      <c r="E51" s="51" t="n"/>
      <c r="F51" s="51" t="n"/>
      <c r="G51" s="51" t="n"/>
      <c r="H51" s="51" t="n"/>
      <c r="I51" s="51" t="n"/>
      <c r="J51" s="67" t="n"/>
      <c r="K51" s="35" t="n"/>
    </row>
    <row r="52">
      <c r="B52" s="66" t="n">
        <v>47088</v>
      </c>
      <c r="C52" s="51" t="n"/>
      <c r="D52" s="51" t="n"/>
      <c r="E52" s="51" t="n"/>
      <c r="F52" s="51" t="n"/>
      <c r="G52" s="51" t="n"/>
      <c r="H52" s="51" t="n"/>
      <c r="I52" s="51" t="n"/>
      <c r="J52" s="67" t="n"/>
      <c r="K52" s="35" t="n"/>
    </row>
    <row r="54" ht="21.95" customHeight="1">
      <c r="B54" s="38" t="inlineStr">
        <is>
          <t>누계</t>
        </is>
      </c>
    </row>
    <row r="55" ht="20.1" customHeight="1">
      <c r="B55" s="32" t="inlineStr">
        <is>
          <t>2026.05 ~ 2027.09 저축 합계</t>
        </is>
      </c>
      <c r="I55" s="59">
        <f>SUMPRODUCT((B21:B52&gt;=DATE(2026,5,1))*(B21:B52&lt;=DATE(2027,9,1))*I21:I52)</f>
        <v/>
      </c>
    </row>
    <row r="56" ht="20.1" customHeight="1">
      <c r="B56" s="32" t="inlineStr">
        <is>
          <t>월 평균 저축</t>
        </is>
      </c>
      <c r="I56" s="59">
        <f>AVERAGE(I21:I52)</f>
        <v/>
      </c>
    </row>
    <row r="58">
      <c r="B58" s="18" t="inlineStr">
        <is>
          <t xml:space="preserve">  ※ 수입(C·D열)만 입력하세요. 지출은 가계부 시트 자동 합산, 저축·저축률 자동 계산.</t>
        </is>
      </c>
    </row>
    <row r="59">
      <c r="B59" s="18" t="inlineStr">
        <is>
          <t xml:space="preserve">  ※ 이벤트는 위 표에서 수정하세요.</t>
        </is>
      </c>
    </row>
  </sheetData>
  <mergeCells count="27">
    <mergeCell ref="C16:E16"/>
    <mergeCell ref="G12:H12"/>
    <mergeCell ref="G11:H11"/>
    <mergeCell ref="C5:D5"/>
    <mergeCell ref="C9:E9"/>
    <mergeCell ref="G8:H8"/>
    <mergeCell ref="C12:E12"/>
    <mergeCell ref="G17:H17"/>
    <mergeCell ref="C11:E11"/>
    <mergeCell ref="B4:K4"/>
    <mergeCell ref="G10:H10"/>
    <mergeCell ref="C8:E8"/>
    <mergeCell ref="C17:E17"/>
    <mergeCell ref="B7:K7"/>
    <mergeCell ref="B54:K54"/>
    <mergeCell ref="G13:H13"/>
    <mergeCell ref="C13:E13"/>
    <mergeCell ref="G15:H15"/>
    <mergeCell ref="G14:H14"/>
    <mergeCell ref="B2:K2"/>
    <mergeCell ref="C15:E15"/>
    <mergeCell ref="C14:E14"/>
    <mergeCell ref="G16:H16"/>
    <mergeCell ref="E5:J5"/>
    <mergeCell ref="G9:H9"/>
    <mergeCell ref="B19:K19"/>
    <mergeCell ref="C10:E1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F74"/>
  <sheetViews>
    <sheetView showGridLines="0" workbookViewId="0">
      <selection activeCell="D22" sqref="D22"/>
    </sheetView>
  </sheetViews>
  <sheetFormatPr baseColWidth="8" defaultRowHeight="13.5"/>
  <cols>
    <col width="2" customWidth="1" style="53" min="1" max="1"/>
    <col width="29.625" customWidth="1" style="53" min="2" max="2"/>
    <col width="4" customWidth="1" style="53" min="3" max="3"/>
    <col width="18" customWidth="1" style="53" min="4" max="6"/>
    <col width="9" customWidth="1" style="53" min="7" max="7"/>
    <col width="9" customWidth="1" style="53" min="8" max="16384"/>
  </cols>
  <sheetData>
    <row r="2" ht="36" customHeight="1">
      <c r="B2" s="57" t="inlineStr">
        <is>
          <t xml:space="preserve">  부동산 계획</t>
        </is>
      </c>
    </row>
    <row r="3" ht="15.95" customHeight="1">
      <c r="B3" s="25" t="inlineStr">
        <is>
          <t xml:space="preserve">  노란색 셀에 값을 입력하세요.</t>
        </is>
      </c>
    </row>
    <row r="4" ht="21.95" customHeight="1">
      <c r="B4" s="52" t="inlineStr">
        <is>
          <t>핵심 요약 (자동 계산)</t>
        </is>
      </c>
    </row>
    <row r="5" ht="16.5" customHeight="1">
      <c r="B5" s="3" t="inlineStr">
        <is>
          <t>매매가</t>
        </is>
      </c>
      <c r="C5" s="4" t="n"/>
      <c r="D5" s="69" t="n">
        <v>1210000000</v>
      </c>
      <c r="E5" s="34" t="n"/>
    </row>
    <row r="6" ht="16.5" customHeight="1">
      <c r="B6" s="3" t="inlineStr">
        <is>
          <t>계약금 납부</t>
        </is>
      </c>
      <c r="C6" s="4" t="n"/>
      <c r="D6" s="69" t="n">
        <v>130000000</v>
      </c>
      <c r="E6" s="34" t="n"/>
    </row>
    <row r="7" ht="16.5" customHeight="1">
      <c r="B7" s="3" t="inlineStr">
        <is>
          <t>잔금 자기자금</t>
        </is>
      </c>
      <c r="C7" s="4" t="n"/>
      <c r="D7" s="69" t="n">
        <v>220000000</v>
      </c>
      <c r="E7" s="34" t="n"/>
    </row>
    <row r="8" ht="16.5" customHeight="1">
      <c r="B8" s="3" t="inlineStr">
        <is>
          <t>대출 예정</t>
        </is>
      </c>
      <c r="C8" s="4" t="n"/>
      <c r="D8" s="69" t="n">
        <v>560000000</v>
      </c>
      <c r="E8" s="34" t="n"/>
    </row>
    <row r="9" ht="16.5" customHeight="1">
      <c r="B9" s="3" t="inlineStr">
        <is>
          <t>취득세 합계</t>
        </is>
      </c>
      <c r="C9" s="4" t="n"/>
      <c r="D9" s="69">
        <f>D52</f>
        <v/>
      </c>
      <c r="E9" s="34" t="n"/>
    </row>
    <row r="10" ht="16.5" customHeight="1">
      <c r="B10" s="3" t="inlineStr">
        <is>
          <t>세입자 보증금</t>
        </is>
      </c>
      <c r="C10" s="4" t="n"/>
      <c r="D10" s="69" t="n">
        <v>300000000</v>
      </c>
      <c r="E10" s="34" t="n"/>
    </row>
    <row r="11" ht="16.5" customHeight="1">
      <c r="B11" s="3" t="inlineStr">
        <is>
          <t>인테리어 합계</t>
        </is>
      </c>
      <c r="C11" s="4" t="n"/>
      <c r="D11" s="69">
        <f>D72</f>
        <v/>
      </c>
      <c r="E11" s="34" t="n"/>
    </row>
    <row r="13" ht="21.95" customHeight="1">
      <c r="B13" s="52" t="inlineStr">
        <is>
          <t>① 자금 조달 계획</t>
        </is>
      </c>
    </row>
    <row r="14" ht="16.5" customHeight="1">
      <c r="B14" s="56" t="inlineStr">
        <is>
          <t>항  목</t>
        </is>
      </c>
      <c r="C14" s="4" t="n"/>
      <c r="D14" s="56" t="inlineStr">
        <is>
          <t>금  액</t>
        </is>
      </c>
      <c r="E14" s="70" t="inlineStr">
        <is>
          <t>비  고</t>
        </is>
      </c>
      <c r="F14" s="34" t="n"/>
    </row>
    <row r="15" ht="16.5" customHeight="1">
      <c r="B15" s="3" t="inlineStr">
        <is>
          <t>계약금 납부 (완료)</t>
        </is>
      </c>
      <c r="C15" s="4" t="n"/>
      <c r="D15" s="54" t="n">
        <v>130000000</v>
      </c>
      <c r="E15" s="71" t="inlineStr">
        <is>
          <t>2025.04 납부</t>
        </is>
      </c>
      <c r="F15" s="34" t="n"/>
    </row>
    <row r="16" ht="16.5" customHeight="1">
      <c r="B16" s="3" t="inlineStr">
        <is>
          <t>잔금 자기자금</t>
        </is>
      </c>
      <c r="C16" s="4" t="n"/>
      <c r="D16" s="54" t="n">
        <v>220000000</v>
      </c>
      <c r="E16" s="71" t="n"/>
      <c r="F16" s="34" t="n"/>
    </row>
    <row r="17" ht="16.5" customHeight="1">
      <c r="B17" s="3" t="inlineStr">
        <is>
          <t>대출 예정금액(주택담보)</t>
        </is>
      </c>
      <c r="C17" s="4" t="n"/>
      <c r="D17" s="54" t="n">
        <v>560000000</v>
      </c>
      <c r="E17" s="71" t="inlineStr">
        <is>
          <t>LTV 확정 후 수정</t>
        </is>
      </c>
      <c r="F17" s="34" t="n"/>
    </row>
    <row r="18" ht="16.5" customHeight="1">
      <c r="B18" s="3" t="inlineStr">
        <is>
          <t>기타 (부모님 지원 등)</t>
        </is>
      </c>
      <c r="C18" s="4" t="n"/>
      <c r="D18" s="54" t="n">
        <v>0</v>
      </c>
      <c r="E18" s="71" t="n"/>
      <c r="F18" s="34" t="n"/>
    </row>
    <row r="19">
      <c r="B19" s="3" t="inlineStr">
        <is>
          <t>세입자 보증금</t>
        </is>
      </c>
      <c r="C19" s="4" t="n"/>
      <c r="D19" s="54" t="n">
        <v>200000000</v>
      </c>
      <c r="E19" s="28" t="n"/>
      <c r="F19" s="29" t="n"/>
    </row>
    <row r="20">
      <c r="B20" s="3" t="inlineStr">
        <is>
          <t>대출 예정금액(보증금반환)</t>
        </is>
      </c>
      <c r="C20" s="4" t="n"/>
      <c r="D20" s="54" t="n">
        <v>100000000</v>
      </c>
      <c r="E20" s="28" t="n"/>
      <c r="F20" s="29" t="n"/>
    </row>
    <row r="21" ht="20.1" customHeight="1">
      <c r="B21" s="6" t="inlineStr">
        <is>
          <t>합 계</t>
        </is>
      </c>
      <c r="C21" s="4" t="n"/>
      <c r="D21" s="6">
        <f>SUM(D15,D16,D17,D18,D19,D20)</f>
        <v/>
      </c>
    </row>
    <row r="23" ht="21.95" customHeight="1">
      <c r="B23" s="52" t="inlineStr">
        <is>
          <t>② 대출 상세</t>
        </is>
      </c>
    </row>
    <row r="24" ht="16.5" customHeight="1">
      <c r="B24" s="3" t="inlineStr">
        <is>
          <t>대출 종류</t>
        </is>
      </c>
      <c r="C24" s="4" t="n"/>
      <c r="D24" s="54" t="n">
        <v>560000000</v>
      </c>
      <c r="E24" s="71" t="inlineStr">
        <is>
          <t>주택담보대출</t>
        </is>
      </c>
      <c r="F24" s="34" t="n"/>
    </row>
    <row r="25" ht="16.5" customHeight="1">
      <c r="B25" s="3" t="inlineStr">
        <is>
          <t>대출 금액 (원)</t>
        </is>
      </c>
      <c r="C25" s="4" t="n"/>
      <c r="D25" s="55" t="n"/>
      <c r="E25" s="71" t="n"/>
      <c r="F25" s="34" t="n"/>
    </row>
    <row r="26" ht="16.5" customHeight="1">
      <c r="B26" s="3" t="inlineStr">
        <is>
          <t>연 금리 (%)</t>
        </is>
      </c>
      <c r="C26" s="4" t="n"/>
      <c r="D26" s="55" t="n"/>
      <c r="E26" s="71" t="n"/>
      <c r="F26" s="34" t="n"/>
    </row>
    <row r="27" ht="16.5" customHeight="1">
      <c r="B27" s="3" t="inlineStr">
        <is>
          <t>대출 기간 (년)</t>
        </is>
      </c>
      <c r="C27" s="4" t="n"/>
      <c r="D27" s="55" t="n"/>
      <c r="E27" s="71" t="n"/>
      <c r="F27" s="34" t="n"/>
    </row>
    <row r="28" ht="16.5" customHeight="1">
      <c r="B28" s="3" t="inlineStr">
        <is>
          <t>거치 기간 (년)</t>
        </is>
      </c>
      <c r="C28" s="4" t="n"/>
      <c r="D28" s="55" t="n"/>
      <c r="E28" s="71" t="n"/>
      <c r="F28" s="34" t="n"/>
    </row>
    <row r="29" ht="16.5" customHeight="1">
      <c r="B29" s="3" t="inlineStr">
        <is>
          <t>월 상환액 (원)</t>
        </is>
      </c>
      <c r="C29" s="4" t="n"/>
      <c r="D29" s="55" t="n"/>
      <c r="E29" s="71" t="inlineStr">
        <is>
          <t>은행 계산기 확인</t>
        </is>
      </c>
      <c r="F29" s="34" t="n"/>
    </row>
    <row r="30" ht="16.5" customHeight="1">
      <c r="B30" s="3" t="inlineStr">
        <is>
          <t>실행 예정일</t>
        </is>
      </c>
      <c r="C30" s="4" t="n"/>
      <c r="D30" s="55" t="n"/>
      <c r="E30" s="71" t="n"/>
      <c r="F30" s="34" t="n"/>
    </row>
    <row r="31" ht="16.5" customHeight="1">
      <c r="B31" s="3" t="inlineStr">
        <is>
          <t>만기일</t>
        </is>
      </c>
      <c r="C31" s="4" t="n"/>
      <c r="D31" s="55" t="n"/>
      <c r="E31" s="71" t="n"/>
      <c r="F31" s="34" t="n"/>
    </row>
    <row r="33">
      <c r="B33" s="52" t="inlineStr">
        <is>
          <t>② 대출 상세</t>
        </is>
      </c>
    </row>
    <row r="34" ht="16.5" customHeight="1">
      <c r="B34" s="3" t="inlineStr">
        <is>
          <t>대출 종류</t>
        </is>
      </c>
      <c r="C34" s="4" t="n"/>
      <c r="D34" s="54" t="n">
        <v>100000000</v>
      </c>
      <c r="E34" s="71" t="inlineStr">
        <is>
          <t>세입자 반환금 대출</t>
        </is>
      </c>
      <c r="F34" s="34" t="n"/>
    </row>
    <row r="35" ht="16.5" customHeight="1">
      <c r="B35" s="3" t="inlineStr">
        <is>
          <t>대출 금액 (원)</t>
        </is>
      </c>
      <c r="C35" s="4" t="n"/>
      <c r="D35" s="55" t="n"/>
      <c r="E35" s="71" t="n"/>
      <c r="F35" s="34" t="n"/>
    </row>
    <row r="36" ht="16.5" customHeight="1">
      <c r="B36" s="3" t="inlineStr">
        <is>
          <t>연 금리 (%)</t>
        </is>
      </c>
      <c r="C36" s="4" t="n"/>
      <c r="D36" s="55" t="n"/>
      <c r="E36" s="71" t="n"/>
      <c r="F36" s="34" t="n"/>
    </row>
    <row r="37" ht="16.5" customHeight="1">
      <c r="B37" s="3" t="inlineStr">
        <is>
          <t>대출 기간 (년)</t>
        </is>
      </c>
      <c r="C37" s="4" t="n"/>
      <c r="D37" s="55" t="n"/>
      <c r="E37" s="71" t="n"/>
      <c r="F37" s="34" t="n"/>
    </row>
    <row r="38" ht="16.5" customHeight="1">
      <c r="B38" s="3" t="inlineStr">
        <is>
          <t>거치 기간 (년)</t>
        </is>
      </c>
      <c r="C38" s="4" t="n"/>
      <c r="D38" s="55" t="n"/>
      <c r="E38" s="71" t="n"/>
      <c r="F38" s="34" t="n"/>
    </row>
    <row r="39" ht="16.5" customHeight="1">
      <c r="B39" s="3" t="inlineStr">
        <is>
          <t>월 상환액 (원)</t>
        </is>
      </c>
      <c r="C39" s="4" t="n"/>
      <c r="D39" s="55" t="n"/>
      <c r="E39" s="71" t="inlineStr">
        <is>
          <t>은행 계산기 확인</t>
        </is>
      </c>
      <c r="F39" s="34" t="n"/>
    </row>
    <row r="40" ht="16.5" customHeight="1">
      <c r="B40" s="3" t="inlineStr">
        <is>
          <t>실행 예정일</t>
        </is>
      </c>
      <c r="C40" s="4" t="n"/>
      <c r="D40" s="55" t="n"/>
      <c r="E40" s="71" t="n"/>
      <c r="F40" s="34" t="n"/>
    </row>
    <row r="41" ht="16.5" customHeight="1">
      <c r="B41" s="3" t="inlineStr">
        <is>
          <t>만기일</t>
        </is>
      </c>
      <c r="C41" s="4" t="n"/>
      <c r="D41" s="55" t="n"/>
      <c r="E41" s="71" t="n"/>
      <c r="F41" s="34" t="n"/>
    </row>
    <row r="43" ht="21.95" customHeight="1">
      <c r="B43" s="52" t="inlineStr">
        <is>
          <t>③ 취득세 · 부대비용 (임시)</t>
        </is>
      </c>
    </row>
    <row r="44">
      <c r="B44" s="56" t="inlineStr">
        <is>
          <t>항  목</t>
        </is>
      </c>
      <c r="C44" s="4" t="n"/>
      <c r="D44" s="56" t="inlineStr">
        <is>
          <t>예산</t>
        </is>
      </c>
      <c r="E44" s="56" t="inlineStr">
        <is>
          <t>실제</t>
        </is>
      </c>
      <c r="F44" s="56" t="inlineStr">
        <is>
          <t>비고</t>
        </is>
      </c>
    </row>
    <row r="45">
      <c r="B45" s="3" t="inlineStr">
        <is>
          <t>취득세</t>
        </is>
      </c>
      <c r="C45" s="4" t="n"/>
      <c r="D45" s="54" t="n">
        <v>40000000</v>
      </c>
      <c r="E45" s="54" t="n"/>
      <c r="F45" s="55" t="n"/>
    </row>
    <row r="46">
      <c r="B46" s="3" t="inlineStr">
        <is>
          <t>농어촌특별세</t>
        </is>
      </c>
      <c r="C46" s="4" t="n"/>
      <c r="D46" s="54" t="n"/>
      <c r="E46" s="54" t="n"/>
      <c r="F46" s="55" t="n"/>
    </row>
    <row r="47">
      <c r="B47" s="3" t="inlineStr">
        <is>
          <t>지방교육세</t>
        </is>
      </c>
      <c r="C47" s="4" t="n"/>
      <c r="D47" s="54" t="n"/>
      <c r="E47" s="54" t="n"/>
      <c r="F47" s="55" t="n"/>
    </row>
    <row r="48">
      <c r="B48" s="3" t="inlineStr">
        <is>
          <t>법무사 수수료</t>
        </is>
      </c>
      <c r="C48" s="4" t="n"/>
      <c r="D48" s="54" t="n">
        <v>4000000</v>
      </c>
      <c r="E48" s="54" t="n"/>
      <c r="F48" s="55" t="n"/>
    </row>
    <row r="49">
      <c r="B49" s="3" t="inlineStr">
        <is>
          <t>부동산 중개수수료</t>
        </is>
      </c>
      <c r="C49" s="4" t="n"/>
      <c r="D49" s="54" t="n">
        <v>6000000</v>
      </c>
      <c r="E49" s="54" t="n"/>
      <c r="F49" s="55" t="n"/>
    </row>
    <row r="50">
      <c r="B50" s="3" t="inlineStr">
        <is>
          <t>이사 비용</t>
        </is>
      </c>
      <c r="C50" s="4" t="n"/>
      <c r="D50" s="54" t="n"/>
      <c r="E50" s="54" t="n"/>
      <c r="F50" s="55" t="n"/>
    </row>
    <row r="51">
      <c r="B51" s="3" t="inlineStr">
        <is>
          <t>기타</t>
        </is>
      </c>
      <c r="C51" s="4" t="n"/>
      <c r="D51" s="54" t="n"/>
      <c r="E51" s="54" t="n"/>
      <c r="F51" s="55" t="n"/>
    </row>
    <row r="52" ht="20.1" customHeight="1">
      <c r="B52" s="3" t="inlineStr">
        <is>
          <t>취득세 합계</t>
        </is>
      </c>
      <c r="C52" s="4" t="n"/>
      <c r="D52" s="6">
        <f>SUM(D45,D46,D47,D48,D49,D50,D51)</f>
        <v/>
      </c>
    </row>
    <row r="54" ht="21.95" customHeight="1">
      <c r="B54" s="52" t="inlineStr">
        <is>
          <t>④ 세입자 보증금 반환</t>
        </is>
      </c>
    </row>
    <row r="55" ht="15.95" customHeight="1">
      <c r="B55" s="25" t="inlineStr">
        <is>
          <t xml:space="preserve">  ※ 잔금과 별도 — 입주 시 세입자에게 반환해야 하는 금액입니다.</t>
        </is>
      </c>
    </row>
    <row r="56" ht="16.5" customHeight="1">
      <c r="B56" s="3" t="inlineStr">
        <is>
          <t>현 세입자 보증금</t>
        </is>
      </c>
      <c r="C56" s="4" t="n"/>
      <c r="D56" s="54" t="n">
        <v>300000000</v>
      </c>
      <c r="E56" s="71" t="inlineStr">
        <is>
          <t>입주 시 반환</t>
        </is>
      </c>
      <c r="F56" s="34" t="n"/>
    </row>
    <row r="57">
      <c r="B57" s="3" t="inlineStr">
        <is>
          <t>반환 예정일</t>
        </is>
      </c>
      <c r="C57" s="4" t="n"/>
      <c r="D57" s="55" t="inlineStr">
        <is>
          <t>2027-09 또는 입주 시기</t>
        </is>
      </c>
    </row>
    <row r="59" ht="21.95" customHeight="1">
      <c r="B59" s="52" t="inlineStr">
        <is>
          <t>⑤ 인테리어 · 가전가구 (임시)</t>
        </is>
      </c>
    </row>
    <row r="60">
      <c r="B60" s="56" t="inlineStr">
        <is>
          <t>항  목</t>
        </is>
      </c>
      <c r="C60" s="4" t="n"/>
      <c r="D60" s="56" t="inlineStr">
        <is>
          <t>예산</t>
        </is>
      </c>
      <c r="E60" s="56" t="inlineStr">
        <is>
          <t>실제</t>
        </is>
      </c>
      <c r="F60" s="56" t="inlineStr">
        <is>
          <t>비고</t>
        </is>
      </c>
    </row>
    <row r="61">
      <c r="B61" s="3" t="inlineStr">
        <is>
          <t>철거·기본공사</t>
        </is>
      </c>
      <c r="C61" s="4" t="n"/>
      <c r="D61" s="54" t="n"/>
      <c r="E61" s="54" t="n"/>
      <c r="F61" s="55" t="n"/>
    </row>
    <row r="62">
      <c r="B62" s="3" t="inlineStr">
        <is>
          <t>도배·장판</t>
        </is>
      </c>
      <c r="C62" s="4" t="n"/>
      <c r="D62" s="54" t="n">
        <v>10000000</v>
      </c>
      <c r="E62" s="54" t="n"/>
      <c r="F62" s="55" t="n"/>
    </row>
    <row r="63">
      <c r="B63" s="3" t="inlineStr">
        <is>
          <t>주방공사</t>
        </is>
      </c>
      <c r="C63" s="4" t="n"/>
      <c r="D63" s="54" t="n"/>
      <c r="E63" s="54" t="n"/>
      <c r="F63" s="55" t="n"/>
    </row>
    <row r="64">
      <c r="B64" s="3" t="inlineStr">
        <is>
          <t>욕실공사</t>
        </is>
      </c>
      <c r="C64" s="4" t="n"/>
      <c r="D64" s="54" t="n"/>
      <c r="E64" s="54" t="n"/>
      <c r="F64" s="55" t="n"/>
    </row>
    <row r="65">
      <c r="B65" s="3" t="inlineStr">
        <is>
          <t>전기·조명</t>
        </is>
      </c>
      <c r="C65" s="4" t="n"/>
      <c r="D65" s="54" t="n"/>
      <c r="E65" s="54" t="n"/>
      <c r="F65" s="55" t="n"/>
    </row>
    <row r="66">
      <c r="B66" s="3" t="inlineStr">
        <is>
          <t>에어컨</t>
        </is>
      </c>
      <c r="C66" s="4" t="n"/>
      <c r="D66" s="54" t="n"/>
      <c r="E66" s="54" t="n"/>
      <c r="F66" s="55" t="n"/>
    </row>
    <row r="67">
      <c r="B67" s="3" t="inlineStr">
        <is>
          <t>냉장고</t>
        </is>
      </c>
      <c r="C67" s="4" t="n"/>
      <c r="D67" s="54" t="n">
        <v>10000000</v>
      </c>
      <c r="E67" s="54" t="n"/>
      <c r="F67" s="55" t="n"/>
    </row>
    <row r="68">
      <c r="B68" s="3" t="inlineStr">
        <is>
          <t>세탁기·건조기</t>
        </is>
      </c>
      <c r="C68" s="4" t="n"/>
      <c r="D68" s="54" t="n">
        <v>10000000</v>
      </c>
      <c r="E68" s="54" t="n"/>
      <c r="F68" s="55" t="n"/>
    </row>
    <row r="69">
      <c r="B69" s="3" t="inlineStr">
        <is>
          <t>소파·침대·가구</t>
        </is>
      </c>
      <c r="C69" s="4" t="n"/>
      <c r="D69" s="54" t="n">
        <v>10000000</v>
      </c>
      <c r="E69" s="54" t="n"/>
      <c r="F69" s="55" t="n"/>
    </row>
    <row r="70">
      <c r="B70" s="3" t="inlineStr">
        <is>
          <t>TV·가전</t>
        </is>
      </c>
      <c r="C70" s="4" t="n"/>
      <c r="D70" s="54" t="n">
        <v>10000000</v>
      </c>
      <c r="E70" s="54" t="n"/>
      <c r="F70" s="55" t="n"/>
    </row>
    <row r="71">
      <c r="B71" s="3" t="inlineStr">
        <is>
          <t>기타</t>
        </is>
      </c>
      <c r="C71" s="4" t="n"/>
      <c r="D71" s="54" t="n"/>
      <c r="E71" s="54" t="n"/>
      <c r="F71" s="55" t="n"/>
    </row>
    <row r="72" ht="20.1" customHeight="1">
      <c r="B72" s="3" t="inlineStr">
        <is>
          <t>인테리어 합계</t>
        </is>
      </c>
      <c r="C72" s="4" t="n"/>
      <c r="D72" s="6">
        <f>SUM(D61,D62,D63,D64,D65,D66,D67,D68,D69,D70,D71)</f>
        <v/>
      </c>
    </row>
    <row r="74">
      <c r="B74" s="25" t="inlineStr">
        <is>
          <t xml:space="preserve">  ※ D열(예산) 입력 → 취득세·인테리어 합계가 요약 블록에 자동 반영됩니다.</t>
        </is>
      </c>
    </row>
  </sheetData>
  <mergeCells count="37">
    <mergeCell ref="B4:F4"/>
    <mergeCell ref="D10:E10"/>
    <mergeCell ref="B54:F54"/>
    <mergeCell ref="E24:F24"/>
    <mergeCell ref="B59:F59"/>
    <mergeCell ref="E14:F14"/>
    <mergeCell ref="E17:F17"/>
    <mergeCell ref="E39:F39"/>
    <mergeCell ref="D6:E6"/>
    <mergeCell ref="B43:F43"/>
    <mergeCell ref="E35:F35"/>
    <mergeCell ref="E38:F38"/>
    <mergeCell ref="B2:F2"/>
    <mergeCell ref="E29:F29"/>
    <mergeCell ref="D11:E11"/>
    <mergeCell ref="E28:F28"/>
    <mergeCell ref="B23:F23"/>
    <mergeCell ref="E40:F40"/>
    <mergeCell ref="E31:F31"/>
    <mergeCell ref="B13:F13"/>
    <mergeCell ref="E34:F34"/>
    <mergeCell ref="E30:F30"/>
    <mergeCell ref="D7:E7"/>
    <mergeCell ref="E15:F15"/>
    <mergeCell ref="E27:F27"/>
    <mergeCell ref="E36:F36"/>
    <mergeCell ref="E26:F26"/>
    <mergeCell ref="D9:E9"/>
    <mergeCell ref="D8:E8"/>
    <mergeCell ref="E16:F16"/>
    <mergeCell ref="E25:F25"/>
    <mergeCell ref="B33:F33"/>
    <mergeCell ref="E41:F41"/>
    <mergeCell ref="E18:F18"/>
    <mergeCell ref="D5:E5"/>
    <mergeCell ref="E37:F37"/>
    <mergeCell ref="E56:F5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52"/>
  <sheetViews>
    <sheetView showGridLines="0" workbookViewId="0">
      <selection activeCell="D20" sqref="D20"/>
    </sheetView>
  </sheetViews>
  <sheetFormatPr baseColWidth="8" defaultRowHeight="16.5"/>
  <cols>
    <col width="2" customWidth="1" style="37" min="1" max="1"/>
    <col width="22" customWidth="1" style="37" min="2" max="2"/>
    <col width="4" customWidth="1" style="37" min="3" max="3"/>
    <col width="16" customWidth="1" style="37" min="4" max="5"/>
    <col width="14" customWidth="1" style="37" min="6" max="6"/>
    <col width="16" customWidth="1" style="37" min="7" max="7"/>
    <col width="9" customWidth="1" style="37" min="8" max="8"/>
    <col width="9" customWidth="1" style="37" min="9" max="16384"/>
  </cols>
  <sheetData>
    <row r="2" ht="36" customHeight="1">
      <c r="B2" s="58" t="inlineStr">
        <is>
          <t xml:space="preserve">  결혼 계획</t>
        </is>
      </c>
    </row>
    <row r="3" ht="15.95" customHeight="1">
      <c r="B3" s="18" t="inlineStr">
        <is>
          <t xml:space="preserve">  결혼식: 2027년 7월 | 신혼여행: 2027년 9월</t>
        </is>
      </c>
    </row>
    <row r="4" ht="21.95" customHeight="1">
      <c r="B4" s="38" t="inlineStr">
        <is>
          <t>핵심 요약 (자동 계산)</t>
        </is>
      </c>
    </row>
    <row r="5" ht="17.25" customHeight="1">
      <c r="B5" s="32" t="inlineStr">
        <is>
          <t>결혼식 합계</t>
        </is>
      </c>
      <c r="C5" s="16" t="n"/>
      <c r="D5" s="72">
        <f>D33</f>
        <v/>
      </c>
      <c r="E5" s="33" t="n"/>
      <c r="F5" s="34" t="n"/>
    </row>
    <row r="6" ht="17.25" customHeight="1">
      <c r="B6" s="32" t="inlineStr">
        <is>
          <t>신혼여행 합계</t>
        </is>
      </c>
      <c r="C6" s="16" t="n"/>
      <c r="D6" s="72">
        <f>D42</f>
        <v/>
      </c>
      <c r="E6" s="33" t="n"/>
      <c r="F6" s="34" t="n"/>
    </row>
    <row r="7" ht="17.25" customHeight="1">
      <c r="B7" s="32" t="inlineStr">
        <is>
          <t>결혼 총비용</t>
        </is>
      </c>
      <c r="C7" s="16" t="n"/>
      <c r="D7" s="72">
        <f>D33+D42</f>
        <v/>
      </c>
      <c r="E7" s="33" t="n"/>
      <c r="F7" s="34" t="n"/>
    </row>
    <row r="8" ht="17.25" customHeight="1">
      <c r="B8" s="32" t="inlineStr">
        <is>
          <t>예상 축의금</t>
        </is>
      </c>
      <c r="C8" s="16" t="n"/>
      <c r="D8" s="72">
        <f>G50</f>
        <v/>
      </c>
      <c r="E8" s="33" t="n"/>
      <c r="F8" s="34" t="n"/>
    </row>
    <row r="9" ht="17.25" customHeight="1">
      <c r="B9" s="32" t="inlineStr">
        <is>
          <t>결혼 순비용</t>
        </is>
      </c>
      <c r="C9" s="16" t="n"/>
      <c r="D9" s="72">
        <f>D7-D8</f>
        <v/>
      </c>
      <c r="E9" s="33" t="n"/>
      <c r="F9" s="34" t="n"/>
    </row>
    <row r="11" ht="21.95" customHeight="1">
      <c r="B11" s="38" t="inlineStr">
        <is>
          <t>① 결혼식 세부 예산</t>
        </is>
      </c>
    </row>
    <row r="12">
      <c r="B12" s="40" t="inlineStr">
        <is>
          <t>항  목</t>
        </is>
      </c>
      <c r="C12" s="16" t="n"/>
      <c r="D12" s="40" t="inlineStr">
        <is>
          <t>예산 (원)</t>
        </is>
      </c>
      <c r="E12" s="40" t="inlineStr">
        <is>
          <t>실제 (원)</t>
        </is>
      </c>
      <c r="F12" s="40" t="inlineStr">
        <is>
          <t>차  액</t>
        </is>
      </c>
      <c r="G12" s="40" t="inlineStr">
        <is>
          <t>비  고</t>
        </is>
      </c>
    </row>
    <row r="13">
      <c r="B13" s="32" t="inlineStr">
        <is>
          <t xml:space="preserve">  스튜디오 (사진촬영)</t>
        </is>
      </c>
      <c r="C13" s="16" t="n"/>
      <c r="D13" s="51" t="n"/>
      <c r="E13" s="51" t="n"/>
      <c r="F13" s="51">
        <f>E13-D13</f>
        <v/>
      </c>
      <c r="G13" s="35" t="n"/>
    </row>
    <row r="14">
      <c r="B14" s="32" t="inlineStr">
        <is>
          <t xml:space="preserve">  드레스</t>
        </is>
      </c>
      <c r="C14" s="16" t="n"/>
      <c r="D14" s="51" t="n"/>
      <c r="E14" s="51" t="n"/>
      <c r="F14" s="51">
        <f>E14-D14</f>
        <v/>
      </c>
      <c r="G14" s="35" t="n"/>
    </row>
    <row r="15">
      <c r="B15" s="32" t="inlineStr">
        <is>
          <t xml:space="preserve">  메이크업 (헤어포함)</t>
        </is>
      </c>
      <c r="C15" s="16" t="n"/>
      <c r="D15" s="51" t="n"/>
      <c r="E15" s="51" t="n"/>
      <c r="F15" s="51">
        <f>E15-D15</f>
        <v/>
      </c>
      <c r="G15" s="35" t="n"/>
    </row>
    <row r="16">
      <c r="B16" s="32" t="inlineStr">
        <is>
          <t xml:space="preserve">  신랑 예복</t>
        </is>
      </c>
      <c r="C16" s="16" t="n"/>
      <c r="D16" s="51" t="n"/>
      <c r="E16" s="51" t="n"/>
      <c r="F16" s="51">
        <f>E16-D16</f>
        <v/>
      </c>
      <c r="G16" s="35" t="n"/>
    </row>
    <row r="17">
      <c r="B17" s="32" t="inlineStr">
        <is>
          <t xml:space="preserve">  부케·부토니에</t>
        </is>
      </c>
      <c r="C17" s="16" t="n"/>
      <c r="D17" s="51" t="n"/>
      <c r="E17" s="51" t="n"/>
      <c r="F17" s="51">
        <f>E17-D17</f>
        <v/>
      </c>
      <c r="G17" s="35" t="n"/>
    </row>
    <row r="18" ht="20.1" customHeight="1">
      <c r="B18" s="32" t="inlineStr">
        <is>
          <t xml:space="preserve">  [스드메] 소계</t>
        </is>
      </c>
      <c r="C18" s="16" t="n"/>
      <c r="D18" s="59">
        <f>SUM(D13,D14,D15,D16,D17)</f>
        <v/>
      </c>
      <c r="E18" s="59">
        <f>SUM(E13,E14,E15,E16,E17)</f>
        <v/>
      </c>
      <c r="F18" s="59">
        <f>E18-D18</f>
        <v/>
      </c>
    </row>
    <row r="19">
      <c r="B19" s="32" t="inlineStr">
        <is>
          <t xml:space="preserve">  예식장 대관료</t>
        </is>
      </c>
      <c r="C19" s="16" t="n"/>
      <c r="D19" s="51" t="n">
        <v>50000000</v>
      </c>
      <c r="E19" s="51" t="n"/>
      <c r="F19" s="51">
        <f>E19-D19</f>
        <v/>
      </c>
      <c r="G19" s="35" t="n"/>
    </row>
    <row r="20">
      <c r="B20" s="32" t="inlineStr">
        <is>
          <t xml:space="preserve">  뷔페·식사</t>
        </is>
      </c>
      <c r="C20" s="16" t="n"/>
      <c r="D20" s="51" t="n"/>
      <c r="E20" s="51" t="n"/>
      <c r="F20" s="51">
        <f>E20-D20</f>
        <v/>
      </c>
      <c r="G20" s="35" t="n"/>
    </row>
    <row r="21">
      <c r="B21" s="32" t="inlineStr">
        <is>
          <t xml:space="preserve">  웨딩케이크</t>
        </is>
      </c>
      <c r="C21" s="16" t="n"/>
      <c r="D21" s="51" t="n"/>
      <c r="E21" s="51" t="n"/>
      <c r="F21" s="51">
        <f>E21-D21</f>
        <v/>
      </c>
      <c r="G21" s="35" t="n"/>
    </row>
    <row r="22">
      <c r="B22" s="32" t="inlineStr">
        <is>
          <t xml:space="preserve">  사회자</t>
        </is>
      </c>
      <c r="C22" s="16" t="n"/>
      <c r="D22" s="51" t="n"/>
      <c r="E22" s="51" t="n"/>
      <c r="F22" s="51">
        <f>E22-D22</f>
        <v/>
      </c>
      <c r="G22" s="35" t="n"/>
    </row>
    <row r="23">
      <c r="B23" s="32" t="inlineStr">
        <is>
          <t xml:space="preserve">  영상촬영</t>
        </is>
      </c>
      <c r="C23" s="16" t="n"/>
      <c r="D23" s="51" t="n"/>
      <c r="E23" s="51" t="n"/>
      <c r="F23" s="51">
        <f>E23-D23</f>
        <v/>
      </c>
      <c r="G23" s="35" t="n"/>
    </row>
    <row r="24">
      <c r="B24" s="32" t="inlineStr">
        <is>
          <t xml:space="preserve">  청첩장·답례품</t>
        </is>
      </c>
      <c r="C24" s="16" t="n"/>
      <c r="D24" s="51" t="n"/>
      <c r="E24" s="51" t="n"/>
      <c r="F24" s="51">
        <f>E24-D24</f>
        <v/>
      </c>
      <c r="G24" s="35" t="n"/>
    </row>
    <row r="25" ht="20.1" customHeight="1">
      <c r="B25" s="32" t="inlineStr">
        <is>
          <t xml:space="preserve">  [예식장] 소계</t>
        </is>
      </c>
      <c r="C25" s="16" t="n"/>
      <c r="D25" s="59">
        <f>SUM(D19,D20,D21,D22,D23,D24)</f>
        <v/>
      </c>
      <c r="E25" s="59">
        <f>SUM(E19,E20,E21,E22,E23,E24)</f>
        <v/>
      </c>
      <c r="F25" s="59">
        <f>E25-D25</f>
        <v/>
      </c>
    </row>
    <row r="26">
      <c r="B26" s="32" t="inlineStr">
        <is>
          <t xml:space="preserve">  예물 (반지 등)</t>
        </is>
      </c>
      <c r="C26" s="16" t="n"/>
      <c r="D26" s="51" t="n"/>
      <c r="E26" s="51" t="n"/>
      <c r="F26" s="51">
        <f>E26-D26</f>
        <v/>
      </c>
      <c r="G26" s="35" t="n"/>
    </row>
    <row r="27">
      <c r="B27" s="32" t="inlineStr">
        <is>
          <t xml:space="preserve">  예단 비용</t>
        </is>
      </c>
      <c r="C27" s="16" t="n"/>
      <c r="D27" s="51" t="n"/>
      <c r="E27" s="51" t="n"/>
      <c r="F27" s="51">
        <f>E27-D27</f>
        <v/>
      </c>
      <c r="G27" s="35" t="n"/>
    </row>
    <row r="28" ht="20.1" customHeight="1">
      <c r="B28" s="32" t="inlineStr">
        <is>
          <t xml:space="preserve">  [예물·예단] 소계</t>
        </is>
      </c>
      <c r="C28" s="16" t="n"/>
      <c r="D28" s="59">
        <f>SUM(D26,D27)</f>
        <v/>
      </c>
      <c r="E28" s="59">
        <f>SUM(E26,E27)</f>
        <v/>
      </c>
      <c r="F28" s="59">
        <f>E28-D28</f>
        <v/>
      </c>
    </row>
    <row r="29">
      <c r="B29" s="32" t="inlineStr">
        <is>
          <t xml:space="preserve">  기타 ①</t>
        </is>
      </c>
      <c r="C29" s="16" t="n"/>
      <c r="D29" s="51" t="n"/>
      <c r="E29" s="51" t="n"/>
      <c r="F29" s="51">
        <f>E29-D29</f>
        <v/>
      </c>
      <c r="G29" s="35" t="n"/>
    </row>
    <row r="30">
      <c r="B30" s="32" t="inlineStr">
        <is>
          <t xml:space="preserve">  기타 ②</t>
        </is>
      </c>
      <c r="C30" s="16" t="n"/>
      <c r="D30" s="51" t="n"/>
      <c r="E30" s="51" t="n"/>
      <c r="F30" s="51">
        <f>E30-D30</f>
        <v/>
      </c>
      <c r="G30" s="35" t="n"/>
    </row>
    <row r="31" ht="20.1" customHeight="1">
      <c r="B31" s="32" t="inlineStr">
        <is>
          <t xml:space="preserve">  [기타] 소계</t>
        </is>
      </c>
      <c r="C31" s="16" t="n"/>
      <c r="D31" s="59">
        <f>SUM(D29,D30)</f>
        <v/>
      </c>
      <c r="E31" s="59">
        <f>SUM(E29,E30)</f>
        <v/>
      </c>
      <c r="F31" s="59">
        <f>E31-D31</f>
        <v/>
      </c>
    </row>
    <row r="33" ht="20.1" customHeight="1">
      <c r="B33" s="32" t="inlineStr">
        <is>
          <t>결혼식 합계</t>
        </is>
      </c>
      <c r="C33" s="16" t="n"/>
      <c r="D33" s="59">
        <f>SUM(D13,D14,D15,D16,D17,D19,D20,D21,D22,D23,D24,D26,D27,D29,D30)</f>
        <v/>
      </c>
      <c r="E33" s="59">
        <f>SUM(E13,E14,E15,E16,E17,E19,E20,E21,E22,E23,E24,E26,E27,E29,E30)</f>
        <v/>
      </c>
      <c r="F33" s="59">
        <f>E33-D33</f>
        <v/>
      </c>
    </row>
    <row r="35" ht="21.95" customHeight="1">
      <c r="B35" s="38" t="inlineStr">
        <is>
          <t>② 신혼여행</t>
        </is>
      </c>
    </row>
    <row r="36">
      <c r="B36" s="40" t="inlineStr">
        <is>
          <t>항  목</t>
        </is>
      </c>
      <c r="C36" s="16" t="n"/>
      <c r="D36" s="40" t="inlineStr">
        <is>
          <t>예산</t>
        </is>
      </c>
      <c r="E36" s="40" t="inlineStr">
        <is>
          <t>실제</t>
        </is>
      </c>
      <c r="F36" s="40" t="inlineStr">
        <is>
          <t>차  액</t>
        </is>
      </c>
      <c r="G36" s="40" t="inlineStr">
        <is>
          <t>비  고</t>
        </is>
      </c>
    </row>
    <row r="37">
      <c r="B37" s="32" t="inlineStr">
        <is>
          <t xml:space="preserve">  항공권 (2인)</t>
        </is>
      </c>
      <c r="C37" s="16" t="n"/>
      <c r="D37" s="51" t="n"/>
      <c r="E37" s="51" t="n"/>
      <c r="F37" s="51">
        <f>E37-D37</f>
        <v/>
      </c>
      <c r="G37" s="35" t="n"/>
    </row>
    <row r="38">
      <c r="B38" s="32" t="inlineStr">
        <is>
          <t xml:space="preserve">  숙박</t>
        </is>
      </c>
      <c r="C38" s="16" t="n"/>
      <c r="D38" s="51" t="n"/>
      <c r="E38" s="51" t="n"/>
      <c r="F38" s="51">
        <f>E38-D38</f>
        <v/>
      </c>
      <c r="G38" s="35" t="n"/>
    </row>
    <row r="39">
      <c r="B39" s="32" t="inlineStr">
        <is>
          <t xml:space="preserve">  투어·액티비티</t>
        </is>
      </c>
      <c r="C39" s="16" t="n"/>
      <c r="D39" s="51" t="n"/>
      <c r="E39" s="51" t="n"/>
      <c r="F39" s="51">
        <f>E39-D39</f>
        <v/>
      </c>
      <c r="G39" s="35" t="n"/>
    </row>
    <row r="40">
      <c r="B40" s="32" t="inlineStr">
        <is>
          <t xml:space="preserve">  식비·쇼핑</t>
        </is>
      </c>
      <c r="C40" s="16" t="n"/>
      <c r="D40" s="51" t="n"/>
      <c r="E40" s="51" t="n"/>
      <c r="F40" s="51">
        <f>E40-D40</f>
        <v/>
      </c>
      <c r="G40" s="35" t="n"/>
    </row>
    <row r="41">
      <c r="B41" s="32" t="inlineStr">
        <is>
          <t xml:space="preserve">  기타</t>
        </is>
      </c>
      <c r="C41" s="16" t="n"/>
      <c r="D41" s="51" t="n"/>
      <c r="E41" s="51" t="n"/>
      <c r="F41" s="51">
        <f>E41-D41</f>
        <v/>
      </c>
      <c r="G41" s="35" t="n"/>
    </row>
    <row r="42" ht="20.1" customHeight="1">
      <c r="B42" s="32" t="inlineStr">
        <is>
          <t>신혼여행 합계</t>
        </is>
      </c>
      <c r="C42" s="16" t="n"/>
      <c r="D42" s="59">
        <f>SUM(D37,D38,D39,D40,D41)</f>
        <v/>
      </c>
      <c r="E42" s="59">
        <f>SUM(E37,E38,E39,E40,E41)</f>
        <v/>
      </c>
      <c r="F42" s="59">
        <f>E42-D42</f>
        <v/>
      </c>
    </row>
    <row r="44" ht="21.95" customHeight="1">
      <c r="B44" s="38" t="inlineStr">
        <is>
          <t>③ 축의금 시뮬레이터</t>
        </is>
      </c>
    </row>
    <row r="45">
      <c r="B45" s="40" t="inlineStr">
        <is>
          <t>하객 구분</t>
        </is>
      </c>
      <c r="C45" s="16" t="n"/>
      <c r="D45" s="40" t="inlineStr">
        <is>
          <t>민엽 인원</t>
        </is>
      </c>
      <c r="E45" s="40" t="inlineStr">
        <is>
          <t>현지 인원</t>
        </is>
      </c>
      <c r="F45" s="40" t="inlineStr">
        <is>
          <t>평균 축의금</t>
        </is>
      </c>
      <c r="G45" s="40" t="inlineStr">
        <is>
          <t>예상 수입</t>
        </is>
      </c>
    </row>
    <row r="46">
      <c r="B46" s="32" t="inlineStr">
        <is>
          <t>직장 동료</t>
        </is>
      </c>
      <c r="C46" s="16" t="n"/>
      <c r="D46" s="51" t="n"/>
      <c r="E46" s="51" t="n"/>
      <c r="F46" s="51" t="n">
        <v>70000</v>
      </c>
      <c r="G46" s="51">
        <f>(D46+E46)*F46</f>
        <v/>
      </c>
    </row>
    <row r="47">
      <c r="B47" s="32" t="inlineStr">
        <is>
          <t>친구·지인</t>
        </is>
      </c>
      <c r="C47" s="16" t="n"/>
      <c r="D47" s="51" t="n">
        <v>300</v>
      </c>
      <c r="E47" s="51" t="n"/>
      <c r="F47" s="51" t="n">
        <v>100000</v>
      </c>
      <c r="G47" s="51">
        <f>(D47+E47)*F47</f>
        <v/>
      </c>
    </row>
    <row r="48">
      <c r="B48" s="32" t="inlineStr">
        <is>
          <t>친척·가족</t>
        </is>
      </c>
      <c r="C48" s="16" t="n"/>
      <c r="D48" s="51" t="n"/>
      <c r="E48" s="51" t="n"/>
      <c r="F48" s="51" t="n">
        <v>200000</v>
      </c>
      <c r="G48" s="51">
        <f>(D48+E48)*F48</f>
        <v/>
      </c>
    </row>
    <row r="49">
      <c r="B49" s="32" t="inlineStr">
        <is>
          <t>기타</t>
        </is>
      </c>
      <c r="C49" s="16" t="n"/>
      <c r="D49" s="51" t="n"/>
      <c r="E49" s="51" t="n"/>
      <c r="F49" s="51" t="n">
        <v>100000</v>
      </c>
      <c r="G49" s="51">
        <f>(D49+E49)*F49</f>
        <v/>
      </c>
    </row>
    <row r="50" ht="20.1" customHeight="1">
      <c r="B50" s="32" t="inlineStr">
        <is>
          <t>축의금 합계</t>
        </is>
      </c>
      <c r="C50" s="16" t="n"/>
      <c r="D50" s="23" t="n"/>
      <c r="E50" s="23" t="n"/>
      <c r="F50" s="23" t="n"/>
      <c r="G50" s="59">
        <f>SUM(G46,G47,G48,G49)</f>
        <v/>
      </c>
    </row>
    <row r="52">
      <c r="B52" s="18" t="inlineStr">
        <is>
          <t xml:space="preserve">  ※ D열(예산), 하객 인원을 입력하세요. 합계·순비용은 자동 계산.</t>
        </is>
      </c>
    </row>
  </sheetData>
  <mergeCells count="10">
    <mergeCell ref="B2:G2"/>
    <mergeCell ref="D5:F5"/>
    <mergeCell ref="B44:G44"/>
    <mergeCell ref="B35:G35"/>
    <mergeCell ref="B4:G4"/>
    <mergeCell ref="D9:F9"/>
    <mergeCell ref="D7:F7"/>
    <mergeCell ref="D8:F8"/>
    <mergeCell ref="D6:F6"/>
    <mergeCell ref="B11:G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2026-05-17T14:28:45Z</dcterms:created>
  <dcterms:modified xmlns:dcterms="http://purl.org/dc/terms/" xmlns:xsi="http://www.w3.org/2001/XMLSchema-instance" xsi:type="dcterms:W3CDTF">2026-05-18T00:39:24Z</dcterms:modified>
  <cp:lastModifiedBy>민엽 김</cp:lastModifiedBy>
</cp:coreProperties>
</file>